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96149AE6-0B9C-4756-83EF-8C40D2BECD7D}" xr6:coauthVersionLast="47" xr6:coauthVersionMax="47" xr10:uidLastSave="{00000000-0000-0000-0000-000000000000}"/>
  <bookViews>
    <workbookView xWindow="-108" yWindow="-108" windowWidth="23256" windowHeight="12456" tabRatio="500" activeTab="1" xr2:uid="{00000000-000D-0000-FFFF-FFFF00000000}"/>
  </bookViews>
  <sheets>
    <sheet name="Data_Mentah" sheetId="1" r:id="rId1"/>
    <sheet name="Pertanyaan &amp; Jawaban (Insight)" sheetId="12" r:id="rId2"/>
    <sheet name="Statistik Dasar" sheetId="2" r:id="rId3"/>
  </sheets>
  <definedNames>
    <definedName name="_xlchart.v5.0" hidden="1">'Pertanyaan &amp; Jawaban (Insight)'!$A$21</definedName>
    <definedName name="_xlchart.v5.1" hidden="1">'Pertanyaan &amp; Jawaban (Insight)'!$A$22:$A$44</definedName>
    <definedName name="_xlchart.v5.2" hidden="1">'Pertanyaan &amp; Jawaban (Insight)'!$B$21</definedName>
    <definedName name="_xlchart.v5.3" hidden="1">'Pertanyaan &amp; Jawaban (Insight)'!$B$22:$B$44</definedName>
    <definedName name="_xlchart.v5.4" hidden="1">'Pertanyaan &amp; Jawaban (Insight)'!$A$21</definedName>
    <definedName name="_xlchart.v5.5" hidden="1">'Pertanyaan &amp; Jawaban (Insight)'!$A$22:$A$44</definedName>
    <definedName name="_xlchart.v5.6" hidden="1">'Pertanyaan &amp; Jawaban (Insight)'!$B$21</definedName>
    <definedName name="_xlchart.v5.7" hidden="1">'Pertanyaan &amp; Jawaban (Insight)'!$B$22:$B$44</definedName>
    <definedName name="Slicer_Status1">#N/A</definedName>
  </definedNames>
  <calcPr calcId="191029" iterateDelta="1E-4"/>
  <pivotCaches>
    <pivotCache cacheId="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 i="2" l="1"/>
  <c r="D14" i="2"/>
  <c r="C14" i="2"/>
  <c r="B14" i="2"/>
  <c r="F13" i="2"/>
  <c r="D13" i="2"/>
  <c r="C13" i="2"/>
  <c r="B13" i="2"/>
  <c r="F12" i="2"/>
  <c r="E12" i="2"/>
  <c r="C12" i="2"/>
  <c r="B12" i="2"/>
  <c r="F11" i="2"/>
  <c r="E11" i="2"/>
  <c r="D11" i="2"/>
  <c r="B11" i="2"/>
  <c r="F10" i="2"/>
  <c r="E10" i="2"/>
  <c r="D10" i="2"/>
  <c r="C10" i="2"/>
  <c r="J6" i="2"/>
  <c r="I6" i="2"/>
  <c r="H6" i="2"/>
  <c r="G6" i="2"/>
  <c r="F6" i="2"/>
  <c r="E6" i="2"/>
  <c r="D6" i="2"/>
  <c r="C6" i="2"/>
  <c r="B6" i="2"/>
  <c r="J5" i="2"/>
  <c r="I5" i="2"/>
  <c r="H5" i="2"/>
  <c r="G5" i="2"/>
  <c r="F5" i="2"/>
  <c r="E5" i="2"/>
  <c r="D5" i="2"/>
  <c r="C5" i="2"/>
  <c r="B5" i="2"/>
  <c r="J4" i="2"/>
  <c r="I4" i="2"/>
  <c r="H4" i="2"/>
  <c r="G4" i="2"/>
  <c r="F4" i="2"/>
  <c r="E4" i="2"/>
  <c r="D4" i="2"/>
  <c r="C4" i="2"/>
  <c r="B4" i="2"/>
  <c r="J3" i="2"/>
  <c r="I3" i="2"/>
  <c r="H3" i="2"/>
  <c r="G3" i="2"/>
  <c r="F3" i="2"/>
  <c r="E3" i="2"/>
  <c r="D3" i="2"/>
  <c r="C3" i="2"/>
  <c r="B3" i="2"/>
  <c r="J2" i="2"/>
  <c r="I2" i="2"/>
  <c r="H2" i="2"/>
  <c r="G2" i="2"/>
  <c r="F2" i="2"/>
  <c r="E2" i="2"/>
  <c r="D2" i="2"/>
  <c r="C2" i="2"/>
  <c r="B2" i="2"/>
</calcChain>
</file>

<file path=xl/sharedStrings.xml><?xml version="1.0" encoding="utf-8"?>
<sst xmlns="http://schemas.openxmlformats.org/spreadsheetml/2006/main" count="228" uniqueCount="132">
  <si>
    <t>Status</t>
  </si>
  <si>
    <t>Berdaya Saing</t>
  </si>
  <si>
    <t>Inisiasi</t>
  </si>
  <si>
    <t>Konsolidasi</t>
  </si>
  <si>
    <t>Mandiri</t>
  </si>
  <si>
    <t>No</t>
  </si>
  <si>
    <t>ID Prov</t>
  </si>
  <si>
    <t>Provinsi</t>
  </si>
  <si>
    <t>ID KAB</t>
  </si>
  <si>
    <t>Kabupaten</t>
  </si>
  <si>
    <t>Nama Kawasan</t>
  </si>
  <si>
    <t>Dimensi Manajemen dan Tata Kelola</t>
  </si>
  <si>
    <t>Dimensi Sarana dan Prasaran</t>
  </si>
  <si>
    <t>Dimensi Interaksi Kawasan</t>
  </si>
  <si>
    <t>Dimensi Aktivitas Ekonomi</t>
  </si>
  <si>
    <t>Total Nilai</t>
  </si>
  <si>
    <t>Jawa Tengah</t>
  </si>
  <si>
    <t>Karanganyar</t>
  </si>
  <si>
    <t>Kawasan Perdesaan Agrowisata Ngargoyoso</t>
  </si>
  <si>
    <t>Kalimantan Selatan</t>
  </si>
  <si>
    <t>Tanah Bumbu</t>
  </si>
  <si>
    <t>Kawasan Perdesaan Agropolitan Tanah Bumbu</t>
  </si>
  <si>
    <t>Wonosobo</t>
  </si>
  <si>
    <t>Kawasan Perdesaan Margomarem</t>
  </si>
  <si>
    <t>Bali</t>
  </si>
  <si>
    <t>Tabanan</t>
  </si>
  <si>
    <t>Kawasan Perdesaan Shiny Tabanan Yang Alami, Berbudaya, Dan Berkedaulatan Pangan</t>
  </si>
  <si>
    <t>Sumatera Utara</t>
  </si>
  <si>
    <t>Toba</t>
  </si>
  <si>
    <t>Kawasan Perdesaan Ajibata</t>
  </si>
  <si>
    <t>Jawa Barat</t>
  </si>
  <si>
    <t>Garut</t>
  </si>
  <si>
    <t>Kawasan Perdesaan Industri Bambu Kreatif Selaawi</t>
  </si>
  <si>
    <t>Jambi</t>
  </si>
  <si>
    <t>Tebo</t>
  </si>
  <si>
    <t>Kawasan Perdesaan Mina-agro-wisata</t>
  </si>
  <si>
    <t>Kalimantan Barat</t>
  </si>
  <si>
    <t>Kubu Raya</t>
  </si>
  <si>
    <t>Kawasan Perdesaan Pertanian Terpadu Sungai Kakap</t>
  </si>
  <si>
    <t>Sumatera Barat</t>
  </si>
  <si>
    <t>Agam</t>
  </si>
  <si>
    <t>Kawasan Perdesaan Agribisnis Pamako</t>
  </si>
  <si>
    <t>Tabalong</t>
  </si>
  <si>
    <t>Kawasan Perdesaan Agrowisata Hortikultura</t>
  </si>
  <si>
    <t>Bengkulu</t>
  </si>
  <si>
    <t>Bengkulu Selatan</t>
  </si>
  <si>
    <t>Kawasan Food Estate Berbasis Korporasi Petani</t>
  </si>
  <si>
    <t>Kendal</t>
  </si>
  <si>
    <t>Kawasan Perdesaan Plasma Petik Sari</t>
  </si>
  <si>
    <t>Banjar</t>
  </si>
  <si>
    <t>Kawasan Perdesaan Agrominapolitan Banjar</t>
  </si>
  <si>
    <t>Bandung Barat</t>
  </si>
  <si>
    <t>Kawasan Perdesaan Berbasis Wisata Artefak Gua Pawon dan Geo-wisata</t>
  </si>
  <si>
    <t>Klungkung</t>
  </si>
  <si>
    <t>Kawasan Perdesaan Pariwisata Nusa Penida</t>
  </si>
  <si>
    <t>Aceh</t>
  </si>
  <si>
    <t>Nagan Raya</t>
  </si>
  <si>
    <t>Kawasan Perdesaan Budidaya Perikanan Air Tawar Terpadu</t>
  </si>
  <si>
    <t>Kepulauan Bangka Belitung</t>
  </si>
  <si>
    <t>Belitung Timur</t>
  </si>
  <si>
    <t>Kawasan Perdesaan Andalan Menuju Pengembangan Inovasi Terpadu (KAMPIT)</t>
  </si>
  <si>
    <t>Jawa Timur</t>
  </si>
  <si>
    <t>Mojokerto</t>
  </si>
  <si>
    <t>Kawasan Perdesaan Agrowisata Pertanian Terpadu Kecamatan Gondang</t>
  </si>
  <si>
    <t>Maluku</t>
  </si>
  <si>
    <t>Buru</t>
  </si>
  <si>
    <t>Kawasan Perdesaan Agropolitan Berbasis Komoditas Unggulan Padi Waeapo</t>
  </si>
  <si>
    <t>Sulawesi Selatan</t>
  </si>
  <si>
    <t>Barru</t>
  </si>
  <si>
    <t>Kawasan Perdesaan Agrowisata Gurilla</t>
  </si>
  <si>
    <t>Banten</t>
  </si>
  <si>
    <t>Serang</t>
  </si>
  <si>
    <t>Kawasan Perdesaan Agromina Wisata</t>
  </si>
  <si>
    <t>Sulawesi Tengah</t>
  </si>
  <si>
    <t>Morowali</t>
  </si>
  <si>
    <t>Kawasan Perdesaan Sentra Minapolitan Salabangka</t>
  </si>
  <si>
    <t>Nusa Tenggara Barat</t>
  </si>
  <si>
    <t>Lombok Timur</t>
  </si>
  <si>
    <t>Kawasan Perdesaan Sembalun</t>
  </si>
  <si>
    <t>Sukabumi</t>
  </si>
  <si>
    <t>Kawasan Perdesaan Agrowisata Citaman Sakti</t>
  </si>
  <si>
    <t>Maluku Utara</t>
  </si>
  <si>
    <t>Halmahera Barat</t>
  </si>
  <si>
    <t>Kawasan Perdesaan Agropolitan Sahu Timur</t>
  </si>
  <si>
    <t>Sulawesi Utara</t>
  </si>
  <si>
    <t>Minahasa</t>
  </si>
  <si>
    <t>Kawasan Perdesaan Mapalus</t>
  </si>
  <si>
    <t>Kalimantan Timur</t>
  </si>
  <si>
    <t>Kutai Kartanegara</t>
  </si>
  <si>
    <t>Kawasan Perdesaan Agroekowisata</t>
  </si>
  <si>
    <t>Papua Selatan</t>
  </si>
  <si>
    <t>Merauke</t>
  </si>
  <si>
    <t>Kawasan Perdesaan Penyangga Pangan Berkelanjutan Merauke</t>
  </si>
  <si>
    <t>Nusa Tenggara Timur</t>
  </si>
  <si>
    <t>Ngada</t>
  </si>
  <si>
    <t>Kawasan Perdesaan Agrowisata Kopi Flores Bajawa</t>
  </si>
  <si>
    <t>Papua Barat Daya</t>
  </si>
  <si>
    <t>Raja Ampat</t>
  </si>
  <si>
    <t>Kawasan Perdesaan Misool</t>
  </si>
  <si>
    <t>Mean (Central Tendency)</t>
  </si>
  <si>
    <t>Median (Central Tendency)</t>
  </si>
  <si>
    <t>Mode (Central Tendency)</t>
  </si>
  <si>
    <t>Std Dev (Dispersion)</t>
  </si>
  <si>
    <t>Variance (Dispersion)</t>
  </si>
  <si>
    <t>Min (Dispersion)</t>
  </si>
  <si>
    <t>Max (Dispersion)</t>
  </si>
  <si>
    <t>Skewness (Asymmetric)</t>
  </si>
  <si>
    <t>Kurtosis (Asymmetric)</t>
  </si>
  <si>
    <t>Data Relationship (Korelasi Antar Dimensi)</t>
  </si>
  <si>
    <t>PERTANYAAN 1: Bagaimana distribusi klasifikasi Status pembangunan kawasan perdesaan (misalnya 'Berdaya Saing') pada keseluruhan data?</t>
  </si>
  <si>
    <t>JAWABAN / INSIGHT:
Dari 30 kawasan: Mandiri 13 (43%), Konsolidasi 12 (40%), Berdaya Saing 4 (13%), Inisiasi 1 (3%). Jadi mayoritas kawasan (83%) masih di level menengah (Mandiri+Konsolidasi); baru 13% yang sudah mencapai status tertinggi 'Berdaya Saing'.</t>
  </si>
  <si>
    <t>JAWABAN / INSIGHT:
Peta ini melengkapi jawaban Pertanyaan 2 secara geografis: provinsi-provinsi di Sumatera dan Jawa bagian tengah cenderung punya warna lebih pekat (nilai lebih tinggi) dibanding provinsi di kawasan timur Indonesia seperti Papua.</t>
  </si>
  <si>
    <t>Dimensi</t>
  </si>
  <si>
    <t>Aktivitas Ekonomi</t>
  </si>
  <si>
    <t>Row Labels</t>
  </si>
  <si>
    <t>Grand Total</t>
  </si>
  <si>
    <t>Count of Nama Kawasan</t>
  </si>
  <si>
    <t>PERTANYAAN 2: Provinsi atau Kabupaten manakah yang memiliki rata-rata Total Nilai Indeks
Pembangunan Kawasan Perdesaan tertinggi?</t>
  </si>
  <si>
    <t>Average of Total Nilai</t>
  </si>
  <si>
    <t xml:space="preserve"> </t>
  </si>
  <si>
    <t>PERTANYAAN 3: Dari keempat dimensi yang diukur, dimensi manakah (Manajemen, Sarpras,
Interaksi, atau Ekonomi) yang menyumbang rata-rata proporsi nilai tertinggi
terhadap Total Nilai?</t>
  </si>
  <si>
    <t>JAWABAN / INSIGHT:
Dimensi Manajemen dan Tata Kelola merupakan penyumbang skor terbesar. Sementara itu, Dimensi Aktivitas Ekonomi cenderung lebih rendah, menandakan perlunya stimulus ekonomi di kawasan perdesaan.</t>
  </si>
  <si>
    <t>PERTANYAAN 4: Apakah terdapat korelasi positif antara tingginya skor Dimensi Aktivitas Ekonomi
dengan tercapainya status kawasan yang berdaya saing?</t>
  </si>
  <si>
    <t>JAWABAN / INSIGHT:
Plot sebaran menunjukkan pola linier positif yang kuat. Artinya, setiap peningkatan intervensi pada sektor aktivitas ekonomi akan sangat berdampak pada kenaikan daya saing kawasan secara keseluruhan (Total Nilai).</t>
  </si>
  <si>
    <t>PERTANYAAN 5: Kawasan perdesaan mana saja yang memiliki skor Dimensi Sarana dan
Prasarana terendah sehingga memerlukan prioritas perbaikan infrastruktur
segera?</t>
  </si>
  <si>
    <t>JAWABAN / INSIGHT:
Kawasan-kawasan ini berada pada titik kritis infrastruktur. Prioritas alokasi dana desa di tahun berikutnya wajib difokuskan pada perbaikan sarana fisik di area-area ini.</t>
  </si>
  <si>
    <t>Average of Dimensi Sarana dan Prasaran</t>
  </si>
  <si>
    <t>Average of Dimensi Aktivitas Ekonomi</t>
  </si>
  <si>
    <t>Average of Dimensi Interaksi Kawasan</t>
  </si>
  <si>
    <t>Average of Dimensi Manajemen dan Tata Kelola</t>
  </si>
  <si>
    <t>PERTAYAAN 4 PENDUKUNG: Bagaimana skor tiap dimensi berubah seiring naiknya Status kawasan?</t>
  </si>
  <si>
    <t>JAWABAN / INSIGHT:
Keempat dimensi naik KONSISTEN dan monoton mengikuti urutan status (Inisiasi &lt; Konsolidasi &lt; Mandiri &lt; Berdaya Saing) — tidak ada dimensi yang turun di tengah jalan. Ini menunjukkan klasifikasi Status memang dibangun secara koheren dari keempat dimensi tersebut. Dimensi Manajemen dan Tata Kelola punya rentang kenaikan PALING BESAR secara absolut (2.04 di Inisiasi -&gt; 27.12 di Berdaya Saing, selisih ~25 poin), sementara Sarana dan Prasarana paling STABIL/kecil selisihnya (8.86 -&gt; 18.33, selisih ~9.5 poin) — artinya infrastruktur dasar relatif sudah lebih merata di semua level status dibanding tata kelola.Dimensi Aktivitas Ekonomi paling menarik secara kualitatif: nilainya benar-benar 0 di status Inisiasi lalu naik ke 14.17 di Berdaya Saing. Lompatan dari 'nihil aktivitas ekonomi' ke 'aktivitas ekonomi signifikan' ini memperkuat jawaban Pertanyaan 4 (di sheet Scatter) bahwa Aktivitas Ekonomi adalah salah satu pembeda paling jelas antara kawasan tertinggal dan kawasan berdaya saing.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</si>
</sst>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 x14ac:knownFonts="1">
    <font>
      <sz val="11"/>
      <color theme="1"/>
      <name val="Calibri"/>
      <family val="2"/>
      <charset val="1"/>
    </font>
    <font>
      <b/>
      <sz val="11"/>
      <color theme="1"/>
      <name val="Calibri"/>
      <family val="2"/>
      <charset val="1"/>
    </font>
    <font>
      <b/>
      <sz val="11"/>
      <color rgb="FFFFFFFF"/>
      <name val="Calibri"/>
      <charset val="1"/>
    </font>
    <font>
      <sz val="11"/>
      <name val="Calibri"/>
      <charset val="1"/>
    </font>
    <font>
      <b/>
      <sz val="12"/>
      <name val="Calibri"/>
      <charset val="1"/>
    </font>
    <font>
      <sz val="11"/>
      <name val="Calibri"/>
    </font>
    <font>
      <sz val="11"/>
      <color theme="1"/>
      <name val="Calibri"/>
      <family val="2"/>
      <charset val="1"/>
    </font>
    <font>
      <i/>
      <sz val="11"/>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rgb="FF4472C4"/>
        <bgColor rgb="FF4F81BD"/>
      </patternFill>
    </fill>
    <fill>
      <patternFill patternType="solid">
        <fgColor rgb="FFF2F2F2"/>
        <bgColor indexed="64"/>
      </patternFill>
    </fill>
    <fill>
      <patternFill patternType="solid">
        <fgColor theme="3" tint="0.59999389629810485"/>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s>
  <borders count="11">
    <border>
      <left/>
      <right/>
      <top/>
      <bottom/>
      <diagonal/>
    </border>
    <border>
      <left style="thin">
        <color rgb="FF999999"/>
      </left>
      <right style="thin">
        <color rgb="FF999999"/>
      </right>
      <top style="thin">
        <color rgb="FF999999"/>
      </top>
      <bottom style="thin">
        <color rgb="FF999999"/>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7">
    <xf numFmtId="0" fontId="0" fillId="0" borderId="0"/>
    <xf numFmtId="0" fontId="6" fillId="0" borderId="0">
      <alignment horizontal="left"/>
    </xf>
    <xf numFmtId="0" fontId="6" fillId="0" borderId="0"/>
    <xf numFmtId="0" fontId="6" fillId="0" borderId="0"/>
    <xf numFmtId="0" fontId="1" fillId="0" borderId="0"/>
    <xf numFmtId="0" fontId="1" fillId="0" borderId="0">
      <alignment horizontal="left"/>
    </xf>
    <xf numFmtId="0" fontId="6" fillId="0" borderId="0"/>
  </cellStyleXfs>
  <cellXfs count="31">
    <xf numFmtId="0" fontId="0" fillId="0" borderId="0" xfId="0"/>
    <xf numFmtId="0" fontId="2" fillId="2" borderId="0" xfId="0" applyFont="1" applyFill="1"/>
    <xf numFmtId="0" fontId="2" fillId="2" borderId="1" xfId="0" applyFont="1" applyFill="1" applyBorder="1" applyAlignment="1">
      <alignment horizontal="center" vertical="center" wrapText="1"/>
    </xf>
    <xf numFmtId="0" fontId="3" fillId="0" borderId="0" xfId="0" applyFont="1"/>
    <xf numFmtId="0" fontId="3" fillId="0" borderId="1" xfId="0" applyFont="1" applyBorder="1"/>
    <xf numFmtId="0" fontId="4" fillId="0" borderId="0" xfId="0" applyFont="1"/>
    <xf numFmtId="164" fontId="3" fillId="0" borderId="1" xfId="0" applyNumberFormat="1" applyFont="1" applyBorder="1"/>
    <xf numFmtId="0" fontId="5" fillId="0" borderId="0" xfId="0" applyFont="1" applyAlignment="1">
      <alignment horizontal="left" vertical="top" wrapText="1"/>
    </xf>
    <xf numFmtId="0" fontId="0" fillId="0" borderId="0" xfId="0" pivotButton="1"/>
    <xf numFmtId="0" fontId="0" fillId="0" borderId="0" xfId="0" applyAlignment="1">
      <alignment horizontal="left"/>
    </xf>
    <xf numFmtId="0" fontId="0" fillId="0" borderId="2" xfId="0" applyBorder="1"/>
    <xf numFmtId="0" fontId="0" fillId="0" borderId="2" xfId="0" applyBorder="1" applyAlignment="1">
      <alignment horizontal="left"/>
    </xf>
    <xf numFmtId="0" fontId="0" fillId="4" borderId="2" xfId="0" applyFill="1" applyBorder="1"/>
    <xf numFmtId="0" fontId="0" fillId="4" borderId="2" xfId="0" applyFill="1" applyBorder="1" applyAlignment="1">
      <alignment horizontal="left"/>
    </xf>
    <xf numFmtId="0" fontId="0" fillId="4" borderId="0" xfId="0" applyFill="1"/>
    <xf numFmtId="0" fontId="0" fillId="5" borderId="0" xfId="0" applyFill="1"/>
    <xf numFmtId="0" fontId="0" fillId="5" borderId="0" xfId="0" applyFill="1" applyAlignment="1">
      <alignment horizontal="left"/>
    </xf>
    <xf numFmtId="0" fontId="8" fillId="4" borderId="2" xfId="0" applyFont="1" applyFill="1" applyBorder="1"/>
    <xf numFmtId="0" fontId="0" fillId="6" borderId="0" xfId="0" applyFill="1"/>
    <xf numFmtId="0" fontId="0" fillId="7" borderId="0" xfId="0" applyFill="1"/>
    <xf numFmtId="0" fontId="7" fillId="3" borderId="2" xfId="0" applyFont="1" applyFill="1" applyBorder="1" applyAlignment="1">
      <alignment vertical="top" wrapText="1"/>
    </xf>
    <xf numFmtId="0" fontId="0" fillId="0" borderId="0" xfId="0" applyNumberFormat="1"/>
    <xf numFmtId="0" fontId="7" fillId="3" borderId="3" xfId="0" applyFont="1" applyFill="1" applyBorder="1" applyAlignment="1">
      <alignment vertical="top" wrapText="1"/>
    </xf>
    <xf numFmtId="0" fontId="7" fillId="3" borderId="4" xfId="0" applyFont="1" applyFill="1" applyBorder="1" applyAlignment="1">
      <alignment vertical="top" wrapText="1"/>
    </xf>
    <xf numFmtId="0" fontId="7" fillId="3" borderId="5" xfId="0" applyFont="1" applyFill="1" applyBorder="1" applyAlignment="1">
      <alignment vertical="top" wrapText="1"/>
    </xf>
    <xf numFmtId="0" fontId="7" fillId="3" borderId="6" xfId="0" applyFont="1" applyFill="1" applyBorder="1" applyAlignment="1">
      <alignment vertical="top" wrapText="1"/>
    </xf>
    <xf numFmtId="0" fontId="7" fillId="3" borderId="0" xfId="0" applyFont="1" applyFill="1" applyBorder="1" applyAlignment="1">
      <alignment vertical="top" wrapText="1"/>
    </xf>
    <xf numFmtId="0" fontId="7" fillId="3" borderId="7" xfId="0" applyFont="1" applyFill="1" applyBorder="1" applyAlignment="1">
      <alignment vertical="top" wrapText="1"/>
    </xf>
    <xf numFmtId="0" fontId="7" fillId="3" borderId="8" xfId="0" applyFont="1" applyFill="1" applyBorder="1" applyAlignment="1">
      <alignment vertical="top" wrapText="1"/>
    </xf>
    <xf numFmtId="0" fontId="7" fillId="3" borderId="9" xfId="0" applyFont="1" applyFill="1" applyBorder="1" applyAlignment="1">
      <alignment vertical="top" wrapText="1"/>
    </xf>
    <xf numFmtId="0" fontId="7" fillId="3" borderId="10" xfId="0" applyFont="1" applyFill="1" applyBorder="1" applyAlignment="1">
      <alignment vertical="top" wrapText="1"/>
    </xf>
  </cellXfs>
  <cellStyles count="7">
    <cellStyle name="Normal" xfId="0" builtinId="0"/>
    <cellStyle name="Pivot Table Category" xfId="1" xr:uid="{00000000-0005-0000-0000-000006000000}"/>
    <cellStyle name="Pivot Table Corner" xfId="2" xr:uid="{00000000-0005-0000-0000-000007000000}"/>
    <cellStyle name="Pivot Table Field" xfId="3" xr:uid="{00000000-0005-0000-0000-000008000000}"/>
    <cellStyle name="Pivot Table Result" xfId="4" xr:uid="{00000000-0005-0000-0000-000009000000}"/>
    <cellStyle name="Pivot Table Title" xfId="5" xr:uid="{00000000-0005-0000-0000-00000A000000}"/>
    <cellStyle name="Pivot Table Value" xfId="6" xr:uid="{00000000-0005-0000-0000-00000B000000}"/>
  </cellStyles>
  <dxfs count="1">
    <dxf>
      <font>
        <color rgb="FF9C0006"/>
      </font>
      <fill>
        <patternFill>
          <bgColor rgb="FFFFC7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0AD47"/>
      <rgbColor rgb="FF800080"/>
      <rgbColor rgb="FF008080"/>
      <rgbColor rgb="FFBFBFBF"/>
      <rgbColor rgb="FF666666"/>
      <rgbColor rgb="FF9999FF"/>
      <rgbColor rgb="FFC0504D"/>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B3B3B3"/>
      <rgbColor rgb="FFFF99CC"/>
      <rgbColor rgb="FFCC99FF"/>
      <rgbColor rgb="FFFFCC99"/>
      <rgbColor rgb="FF4472C4"/>
      <rgbColor rgb="FF33CCCC"/>
      <rgbColor rgb="FF9BBB59"/>
      <rgbColor rgb="FFFFCC00"/>
      <rgbColor rgb="FFFF9900"/>
      <rgbColor rgb="FFED7D31"/>
      <rgbColor rgb="FF8064A2"/>
      <rgbColor rgb="FF999999"/>
      <rgbColor rgb="FF003366"/>
      <rgbColor rgb="FF4F81BD"/>
      <rgbColor rgb="FF003300"/>
      <rgbColor rgb="FF333300"/>
      <rgbColor rgb="FF993300"/>
      <rgbColor rgb="FF993366"/>
      <rgbColor rgb="FF59595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Hubungan Aktivitas Ekonomi Vs Total Nilai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'Pertanyaan &amp; Jawaban (Insight)'!$B$69</c:f>
              <c:strCache>
                <c:ptCount val="1"/>
                <c:pt idx="0">
                  <c:v>Total Nilai</c:v>
                </c:pt>
              </c:strCache>
            </c:strRef>
          </c:tx>
          <c:spPr>
            <a:ln w="28575" cap="rnd">
              <a:noFill/>
              <a:round/>
            </a:ln>
            <a:effectLst/>
          </c:spPr>
          <c:marker>
            <c:symbol val="circle"/>
            <c:size val="5"/>
            <c:spPr>
              <a:solidFill>
                <a:schemeClr val="accent1"/>
              </a:solidFill>
              <a:ln w="9525">
                <a:solidFill>
                  <a:schemeClr val="accent1"/>
                </a:solidFill>
              </a:ln>
              <a:effectLst/>
            </c:spPr>
          </c:marker>
          <c:xVal>
            <c:numRef>
              <c:f>'Pertanyaan &amp; Jawaban (Insight)'!$A$70:$A$99</c:f>
              <c:numCache>
                <c:formatCode>General</c:formatCode>
                <c:ptCount val="30"/>
                <c:pt idx="0">
                  <c:v>16.78</c:v>
                </c:pt>
                <c:pt idx="1">
                  <c:v>12.54</c:v>
                </c:pt>
                <c:pt idx="2">
                  <c:v>10.7</c:v>
                </c:pt>
                <c:pt idx="3">
                  <c:v>16.64</c:v>
                </c:pt>
                <c:pt idx="4">
                  <c:v>13.02</c:v>
                </c:pt>
                <c:pt idx="5">
                  <c:v>16.100000000000001</c:v>
                </c:pt>
                <c:pt idx="6">
                  <c:v>8.9</c:v>
                </c:pt>
                <c:pt idx="7">
                  <c:v>4.32</c:v>
                </c:pt>
                <c:pt idx="8">
                  <c:v>8.4600000000000009</c:v>
                </c:pt>
                <c:pt idx="9">
                  <c:v>6.78</c:v>
                </c:pt>
                <c:pt idx="10">
                  <c:v>3.46</c:v>
                </c:pt>
                <c:pt idx="11">
                  <c:v>8.3800000000000008</c:v>
                </c:pt>
                <c:pt idx="12">
                  <c:v>3.2</c:v>
                </c:pt>
                <c:pt idx="13">
                  <c:v>6.7</c:v>
                </c:pt>
                <c:pt idx="14">
                  <c:v>7.54</c:v>
                </c:pt>
                <c:pt idx="15">
                  <c:v>3.6</c:v>
                </c:pt>
                <c:pt idx="16">
                  <c:v>0.72</c:v>
                </c:pt>
                <c:pt idx="17">
                  <c:v>6.88</c:v>
                </c:pt>
                <c:pt idx="18">
                  <c:v>0</c:v>
                </c:pt>
                <c:pt idx="19">
                  <c:v>0.72</c:v>
                </c:pt>
                <c:pt idx="20">
                  <c:v>0</c:v>
                </c:pt>
                <c:pt idx="21">
                  <c:v>2.08</c:v>
                </c:pt>
                <c:pt idx="22">
                  <c:v>0</c:v>
                </c:pt>
                <c:pt idx="23">
                  <c:v>2.48</c:v>
                </c:pt>
                <c:pt idx="24">
                  <c:v>0</c:v>
                </c:pt>
                <c:pt idx="25">
                  <c:v>0.72</c:v>
                </c:pt>
                <c:pt idx="26">
                  <c:v>0</c:v>
                </c:pt>
                <c:pt idx="27">
                  <c:v>0</c:v>
                </c:pt>
                <c:pt idx="28">
                  <c:v>0</c:v>
                </c:pt>
                <c:pt idx="29">
                  <c:v>0</c:v>
                </c:pt>
              </c:numCache>
            </c:numRef>
          </c:xVal>
          <c:yVal>
            <c:numRef>
              <c:f>'Pertanyaan &amp; Jawaban (Insight)'!$B$70:$B$99</c:f>
              <c:numCache>
                <c:formatCode>General</c:formatCode>
                <c:ptCount val="30"/>
                <c:pt idx="0">
                  <c:v>75.41</c:v>
                </c:pt>
                <c:pt idx="1">
                  <c:v>75.84</c:v>
                </c:pt>
                <c:pt idx="2">
                  <c:v>75.290000000000006</c:v>
                </c:pt>
                <c:pt idx="3">
                  <c:v>75.05</c:v>
                </c:pt>
                <c:pt idx="4">
                  <c:v>73.72</c:v>
                </c:pt>
                <c:pt idx="5">
                  <c:v>72.02</c:v>
                </c:pt>
                <c:pt idx="6">
                  <c:v>70.2</c:v>
                </c:pt>
                <c:pt idx="7">
                  <c:v>65.28</c:v>
                </c:pt>
                <c:pt idx="8">
                  <c:v>64.56</c:v>
                </c:pt>
                <c:pt idx="9">
                  <c:v>64.41</c:v>
                </c:pt>
                <c:pt idx="10">
                  <c:v>59.65</c:v>
                </c:pt>
                <c:pt idx="11">
                  <c:v>58.62</c:v>
                </c:pt>
                <c:pt idx="12">
                  <c:v>58.61</c:v>
                </c:pt>
                <c:pt idx="13">
                  <c:v>57.09</c:v>
                </c:pt>
                <c:pt idx="14">
                  <c:v>54.74</c:v>
                </c:pt>
                <c:pt idx="15">
                  <c:v>52.78</c:v>
                </c:pt>
                <c:pt idx="16">
                  <c:v>52.53</c:v>
                </c:pt>
                <c:pt idx="17">
                  <c:v>49.88</c:v>
                </c:pt>
                <c:pt idx="18">
                  <c:v>48.37</c:v>
                </c:pt>
                <c:pt idx="19">
                  <c:v>47.61</c:v>
                </c:pt>
                <c:pt idx="20">
                  <c:v>45.79</c:v>
                </c:pt>
                <c:pt idx="21">
                  <c:v>44.99</c:v>
                </c:pt>
                <c:pt idx="22">
                  <c:v>44.56</c:v>
                </c:pt>
                <c:pt idx="23">
                  <c:v>42.87</c:v>
                </c:pt>
                <c:pt idx="24">
                  <c:v>40.049999999999997</c:v>
                </c:pt>
                <c:pt idx="25">
                  <c:v>39.64</c:v>
                </c:pt>
                <c:pt idx="26">
                  <c:v>34.6</c:v>
                </c:pt>
                <c:pt idx="27">
                  <c:v>32.020000000000003</c:v>
                </c:pt>
                <c:pt idx="28">
                  <c:v>30.59</c:v>
                </c:pt>
                <c:pt idx="29">
                  <c:v>14.7</c:v>
                </c:pt>
              </c:numCache>
            </c:numRef>
          </c:yVal>
          <c:smooth val="0"/>
          <c:extLst>
            <c:ext xmlns:c16="http://schemas.microsoft.com/office/drawing/2014/chart" uri="{C3380CC4-5D6E-409C-BE32-E72D297353CC}">
              <c16:uniqueId val="{00000000-2909-42D3-A244-1928A86BA400}"/>
            </c:ext>
          </c:extLst>
        </c:ser>
        <c:dLbls>
          <c:showLegendKey val="0"/>
          <c:showVal val="0"/>
          <c:showCatName val="0"/>
          <c:showSerName val="0"/>
          <c:showPercent val="0"/>
          <c:showBubbleSize val="0"/>
        </c:dLbls>
        <c:axId val="1040887504"/>
        <c:axId val="1198474128"/>
      </c:scatterChart>
      <c:valAx>
        <c:axId val="1040887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474128"/>
        <c:crosses val="autoZero"/>
        <c:crossBetween val="midCat"/>
      </c:valAx>
      <c:valAx>
        <c:axId val="1198474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8875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[Assignment_EDA_Visualisasi_Final_Lucky.xlsx]Pertanyaan &amp; Jawaban (Insight)!PivotTable9</c:name>
    <c:fmtId val="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Distribusi Status Pembangunan</a:t>
            </a:r>
          </a:p>
        </c:rich>
      </c:tx>
      <c:layout>
        <c:manualLayout>
          <c:xMode val="edge"/>
          <c:yMode val="edge"/>
          <c:x val="0.28384995392323459"/>
          <c:y val="0.1077527910609352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'Pertanyaan &amp; Jawaban (Insight)'!$B$3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62B-48CC-840A-C7B893051E5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62B-48CC-840A-C7B893051E5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62B-48CC-840A-C7B893051E53}"/>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62B-48CC-840A-C7B893051E5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'Pertanyaan &amp; Jawaban (Insight)'!$A$4:$A$8</c:f>
              <c:strCache>
                <c:ptCount val="4"/>
                <c:pt idx="0">
                  <c:v>Berdaya Saing</c:v>
                </c:pt>
                <c:pt idx="1">
                  <c:v>Inisiasi</c:v>
                </c:pt>
                <c:pt idx="2">
                  <c:v>Konsolidasi</c:v>
                </c:pt>
                <c:pt idx="3">
                  <c:v>Mandiri</c:v>
                </c:pt>
              </c:strCache>
            </c:strRef>
          </c:cat>
          <c:val>
            <c:numRef>
              <c:f>'Pertanyaan &amp; Jawaban (Insight)'!$B$4:$B$8</c:f>
              <c:numCache>
                <c:formatCode>General</c:formatCode>
                <c:ptCount val="4"/>
                <c:pt idx="0">
                  <c:v>4</c:v>
                </c:pt>
                <c:pt idx="1">
                  <c:v>1</c:v>
                </c:pt>
                <c:pt idx="2">
                  <c:v>12</c:v>
                </c:pt>
                <c:pt idx="3">
                  <c:v>13</c:v>
                </c:pt>
              </c:numCache>
            </c:numRef>
          </c:val>
          <c:extLst>
            <c:ext xmlns:c16="http://schemas.microsoft.com/office/drawing/2014/chart" uri="{C3380CC4-5D6E-409C-BE32-E72D297353CC}">
              <c16:uniqueId val="{00000000-7C0D-405D-A524-420F968DC11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[Assignment_EDA_Visualisasi_Final_Lucky.xlsx]Pertanyaan &amp; Jawaban (Insight)!PivotTable11</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1" i="0" u="none" strike="noStrike" kern="1200" baseline="0">
                <a:solidFill>
                  <a:sysClr val="windowText" lastClr="000000"/>
                </a:solidFill>
              </a:rPr>
              <a:t>5 Kawasan dengan Skor Sarpras Terendah</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'Pertanyaan &amp; Jawaban (Insight)'!$B$106</c:f>
              <c:strCache>
                <c:ptCount val="1"/>
                <c:pt idx="0">
                  <c:v>Total</c:v>
                </c:pt>
              </c:strCache>
            </c:strRef>
          </c:tx>
          <c:spPr>
            <a:ln w="28575" cap="rnd">
              <a:solidFill>
                <a:schemeClr val="accent1"/>
              </a:solidFill>
              <a:round/>
            </a:ln>
            <a:effectLst/>
          </c:spPr>
          <c:marker>
            <c:symbol val="none"/>
          </c:marker>
          <c:cat>
            <c:strRef>
              <c:f>'Pertanyaan &amp; Jawaban (Insight)'!$A$107:$A$112</c:f>
              <c:strCache>
                <c:ptCount val="5"/>
                <c:pt idx="0">
                  <c:v>Kawasan Perdesaan Agromina Wisata</c:v>
                </c:pt>
                <c:pt idx="1">
                  <c:v>Kawasan Perdesaan Agropolitan Sahu Timur</c:v>
                </c:pt>
                <c:pt idx="2">
                  <c:v>Kawasan Perdesaan Agrowisata Pertanian Terpadu Kecamatan Gondang</c:v>
                </c:pt>
                <c:pt idx="3">
                  <c:v>Kawasan Perdesaan Misool</c:v>
                </c:pt>
                <c:pt idx="4">
                  <c:v>Kawasan Perdesaan Penyangga Pangan Berkelanjutan Merauke</c:v>
                </c:pt>
              </c:strCache>
            </c:strRef>
          </c:cat>
          <c:val>
            <c:numRef>
              <c:f>'Pertanyaan &amp; Jawaban (Insight)'!$B$107:$B$112</c:f>
              <c:numCache>
                <c:formatCode>General</c:formatCode>
                <c:ptCount val="5"/>
                <c:pt idx="0">
                  <c:v>13.51</c:v>
                </c:pt>
                <c:pt idx="1">
                  <c:v>12.9</c:v>
                </c:pt>
                <c:pt idx="2">
                  <c:v>12.82</c:v>
                </c:pt>
                <c:pt idx="3">
                  <c:v>8.86</c:v>
                </c:pt>
                <c:pt idx="4">
                  <c:v>11.93</c:v>
                </c:pt>
              </c:numCache>
            </c:numRef>
          </c:val>
          <c:smooth val="0"/>
          <c:extLst>
            <c:ext xmlns:c16="http://schemas.microsoft.com/office/drawing/2014/chart" uri="{C3380CC4-5D6E-409C-BE32-E72D297353CC}">
              <c16:uniqueId val="{00000000-540B-4893-9A16-55F342D3CA21}"/>
            </c:ext>
          </c:extLst>
        </c:ser>
        <c:dLbls>
          <c:showLegendKey val="0"/>
          <c:showVal val="0"/>
          <c:showCatName val="0"/>
          <c:showSerName val="0"/>
          <c:showPercent val="0"/>
          <c:showBubbleSize val="0"/>
        </c:dLbls>
        <c:smooth val="0"/>
        <c:axId val="983426672"/>
        <c:axId val="926505008"/>
      </c:lineChart>
      <c:catAx>
        <c:axId val="98342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505008"/>
        <c:crosses val="autoZero"/>
        <c:auto val="1"/>
        <c:lblAlgn val="ctr"/>
        <c:lblOffset val="100"/>
        <c:noMultiLvlLbl val="0"/>
      </c:catAx>
      <c:valAx>
        <c:axId val="92650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42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[Assignment_EDA_Visualisasi_Final_Lucky.xlsx]Pertanyaan &amp; Jawaban (Insight)!PivotTable15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Perbandingan Rata-rata</a:t>
            </a:r>
            <a:r>
              <a:rPr lang="en-US" baseline="0"/>
              <a:t> Antar Dimensi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'Pertanyaan &amp; Jawaban (Insight)'!$B$50</c:f>
              <c:strCache>
                <c:ptCount val="1"/>
                <c:pt idx="0">
                  <c:v>Total</c:v>
                </c:pt>
              </c:strCache>
            </c:strRef>
          </c:tx>
          <c:spPr>
            <a:solidFill>
              <a:schemeClr val="accent1"/>
            </a:solidFill>
            <a:ln>
              <a:noFill/>
            </a:ln>
            <a:effectLst/>
          </c:spPr>
          <c:invertIfNegative val="0"/>
          <c:cat>
            <c:strRef>
              <c:f>'Pertanyaan &amp; Jawaban (Insight)'!$A$51:$A$54</c:f>
              <c:strCache>
                <c:ptCount val="4"/>
                <c:pt idx="0">
                  <c:v>Average of Dimensi Aktivitas Ekonomi</c:v>
                </c:pt>
                <c:pt idx="1">
                  <c:v>Average of Dimensi Interaksi Kawasan</c:v>
                </c:pt>
                <c:pt idx="2">
                  <c:v>Average of Dimensi Sarana dan Prasaran</c:v>
                </c:pt>
                <c:pt idx="3">
                  <c:v>Average of Dimensi Manajemen dan Tata Kelola</c:v>
                </c:pt>
              </c:strCache>
            </c:strRef>
          </c:cat>
          <c:val>
            <c:numRef>
              <c:f>'Pertanyaan &amp; Jawaban (Insight)'!$B$51:$B$54</c:f>
              <c:numCache>
                <c:formatCode>General</c:formatCode>
                <c:ptCount val="4"/>
                <c:pt idx="0">
                  <c:v>5.3573333333333322</c:v>
                </c:pt>
                <c:pt idx="1">
                  <c:v>12.083333333333334</c:v>
                </c:pt>
                <c:pt idx="2">
                  <c:v>16.273666666666664</c:v>
                </c:pt>
                <c:pt idx="3">
                  <c:v>20.333999999999996</c:v>
                </c:pt>
              </c:numCache>
            </c:numRef>
          </c:val>
          <c:extLst>
            <c:ext xmlns:c16="http://schemas.microsoft.com/office/drawing/2014/chart" uri="{C3380CC4-5D6E-409C-BE32-E72D297353CC}">
              <c16:uniqueId val="{00000000-A978-4706-98D3-35964EF9F9F9}"/>
            </c:ext>
          </c:extLst>
        </c:ser>
        <c:dLbls>
          <c:showLegendKey val="0"/>
          <c:showVal val="0"/>
          <c:showCatName val="0"/>
          <c:showSerName val="0"/>
          <c:showPercent val="0"/>
          <c:showBubbleSize val="0"/>
        </c:dLbls>
        <c:gapWidth val="219"/>
        <c:overlap val="-27"/>
        <c:axId val="872817264"/>
        <c:axId val="926489648"/>
      </c:barChart>
      <c:catAx>
        <c:axId val="87281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489648"/>
        <c:crosses val="autoZero"/>
        <c:auto val="1"/>
        <c:lblAlgn val="ctr"/>
        <c:lblOffset val="100"/>
        <c:noMultiLvlLbl val="0"/>
      </c:catAx>
      <c:valAx>
        <c:axId val="92648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81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[Assignment_EDA_Visualisasi_Final_Lucky.xlsx]Pertanyaan &amp; Jawaban (Insight)!PivotTable13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'Pertanyaan &amp; Jawaban (Insight)'!$B$128</c:f>
              <c:strCache>
                <c:ptCount val="1"/>
                <c:pt idx="0">
                  <c:v>Average of Dimensi Aktivitas Ekonomi</c:v>
                </c:pt>
              </c:strCache>
            </c:strRef>
          </c:tx>
          <c:spPr>
            <a:solidFill>
              <a:schemeClr val="accent1"/>
            </a:solidFill>
            <a:ln>
              <a:noFill/>
            </a:ln>
            <a:effectLst/>
          </c:spPr>
          <c:cat>
            <c:strRef>
              <c:f>'Pertanyaan &amp; Jawaban (Insight)'!$A$129:$A$133</c:f>
              <c:strCache>
                <c:ptCount val="4"/>
                <c:pt idx="0">
                  <c:v>Berdaya Saing</c:v>
                </c:pt>
                <c:pt idx="1">
                  <c:v>Inisiasi</c:v>
                </c:pt>
                <c:pt idx="2">
                  <c:v>Konsolidasi</c:v>
                </c:pt>
                <c:pt idx="3">
                  <c:v>Mandiri</c:v>
                </c:pt>
              </c:strCache>
            </c:strRef>
          </c:cat>
          <c:val>
            <c:numRef>
              <c:f>'Pertanyaan &amp; Jawaban (Insight)'!$B$129:$B$133</c:f>
              <c:numCache>
                <c:formatCode>General</c:formatCode>
                <c:ptCount val="4"/>
                <c:pt idx="0">
                  <c:v>14.164999999999999</c:v>
                </c:pt>
                <c:pt idx="1">
                  <c:v>0</c:v>
                </c:pt>
                <c:pt idx="2">
                  <c:v>1.0733333333333335</c:v>
                </c:pt>
                <c:pt idx="3">
                  <c:v>7.0138461538461545</c:v>
                </c:pt>
              </c:numCache>
            </c:numRef>
          </c:val>
          <c:extLst>
            <c:ext xmlns:c16="http://schemas.microsoft.com/office/drawing/2014/chart" uri="{C3380CC4-5D6E-409C-BE32-E72D297353CC}">
              <c16:uniqueId val="{00000000-D972-4F56-B6DB-BE6AF53A7A6A}"/>
            </c:ext>
          </c:extLst>
        </c:ser>
        <c:ser>
          <c:idx val="1"/>
          <c:order val="1"/>
          <c:tx>
            <c:strRef>
              <c:f>'Pertanyaan &amp; Jawaban (Insight)'!$C$128</c:f>
              <c:strCache>
                <c:ptCount val="1"/>
                <c:pt idx="0">
                  <c:v>Average of Dimensi Interaksi Kawasan</c:v>
                </c:pt>
              </c:strCache>
            </c:strRef>
          </c:tx>
          <c:spPr>
            <a:solidFill>
              <a:schemeClr val="accent2"/>
            </a:solidFill>
            <a:ln>
              <a:noFill/>
            </a:ln>
            <a:effectLst/>
          </c:spPr>
          <c:cat>
            <c:strRef>
              <c:f>'Pertanyaan &amp; Jawaban (Insight)'!$A$129:$A$133</c:f>
              <c:strCache>
                <c:ptCount val="4"/>
                <c:pt idx="0">
                  <c:v>Berdaya Saing</c:v>
                </c:pt>
                <c:pt idx="1">
                  <c:v>Inisiasi</c:v>
                </c:pt>
                <c:pt idx="2">
                  <c:v>Konsolidasi</c:v>
                </c:pt>
                <c:pt idx="3">
                  <c:v>Mandiri</c:v>
                </c:pt>
              </c:strCache>
            </c:strRef>
          </c:cat>
          <c:val>
            <c:numRef>
              <c:f>'Pertanyaan &amp; Jawaban (Insight)'!$C$129:$C$133</c:f>
              <c:numCache>
                <c:formatCode>General</c:formatCode>
                <c:ptCount val="4"/>
                <c:pt idx="0">
                  <c:v>15.782499999999999</c:v>
                </c:pt>
                <c:pt idx="1">
                  <c:v>3.8</c:v>
                </c:pt>
                <c:pt idx="2">
                  <c:v>9.7999999999999989</c:v>
                </c:pt>
                <c:pt idx="3">
                  <c:v>13.69</c:v>
                </c:pt>
              </c:numCache>
            </c:numRef>
          </c:val>
          <c:extLst>
            <c:ext xmlns:c16="http://schemas.microsoft.com/office/drawing/2014/chart" uri="{C3380CC4-5D6E-409C-BE32-E72D297353CC}">
              <c16:uniqueId val="{00000001-D972-4F56-B6DB-BE6AF53A7A6A}"/>
            </c:ext>
          </c:extLst>
        </c:ser>
        <c:ser>
          <c:idx val="2"/>
          <c:order val="2"/>
          <c:tx>
            <c:strRef>
              <c:f>'Pertanyaan &amp; Jawaban (Insight)'!$D$128</c:f>
              <c:strCache>
                <c:ptCount val="1"/>
                <c:pt idx="0">
                  <c:v>Average of Dimensi Sarana dan Prasaran</c:v>
                </c:pt>
              </c:strCache>
            </c:strRef>
          </c:tx>
          <c:spPr>
            <a:solidFill>
              <a:schemeClr val="accent3"/>
            </a:solidFill>
            <a:ln>
              <a:noFill/>
            </a:ln>
            <a:effectLst/>
          </c:spPr>
          <c:cat>
            <c:strRef>
              <c:f>'Pertanyaan &amp; Jawaban (Insight)'!$A$129:$A$133</c:f>
              <c:strCache>
                <c:ptCount val="4"/>
                <c:pt idx="0">
                  <c:v>Berdaya Saing</c:v>
                </c:pt>
                <c:pt idx="1">
                  <c:v>Inisiasi</c:v>
                </c:pt>
                <c:pt idx="2">
                  <c:v>Konsolidasi</c:v>
                </c:pt>
                <c:pt idx="3">
                  <c:v>Mandiri</c:v>
                </c:pt>
              </c:strCache>
            </c:strRef>
          </c:cat>
          <c:val>
            <c:numRef>
              <c:f>'Pertanyaan &amp; Jawaban (Insight)'!$D$129:$D$133</c:f>
              <c:numCache>
                <c:formatCode>General</c:formatCode>
                <c:ptCount val="4"/>
                <c:pt idx="0">
                  <c:v>18.327500000000001</c:v>
                </c:pt>
                <c:pt idx="1">
                  <c:v>8.86</c:v>
                </c:pt>
                <c:pt idx="2">
                  <c:v>14.9</c:v>
                </c:pt>
                <c:pt idx="3">
                  <c:v>17.48</c:v>
                </c:pt>
              </c:numCache>
            </c:numRef>
          </c:val>
          <c:extLst>
            <c:ext xmlns:c16="http://schemas.microsoft.com/office/drawing/2014/chart" uri="{C3380CC4-5D6E-409C-BE32-E72D297353CC}">
              <c16:uniqueId val="{00000002-D972-4F56-B6DB-BE6AF53A7A6A}"/>
            </c:ext>
          </c:extLst>
        </c:ser>
        <c:ser>
          <c:idx val="3"/>
          <c:order val="3"/>
          <c:tx>
            <c:strRef>
              <c:f>'Pertanyaan &amp; Jawaban (Insight)'!$E$128</c:f>
              <c:strCache>
                <c:ptCount val="1"/>
                <c:pt idx="0">
                  <c:v>Average of Dimensi Manajemen dan Tata Kelola</c:v>
                </c:pt>
              </c:strCache>
            </c:strRef>
          </c:tx>
          <c:spPr>
            <a:solidFill>
              <a:schemeClr val="accent4"/>
            </a:solidFill>
            <a:ln>
              <a:noFill/>
            </a:ln>
            <a:effectLst/>
          </c:spPr>
          <c:cat>
            <c:strRef>
              <c:f>'Pertanyaan &amp; Jawaban (Insight)'!$A$129:$A$133</c:f>
              <c:strCache>
                <c:ptCount val="4"/>
                <c:pt idx="0">
                  <c:v>Berdaya Saing</c:v>
                </c:pt>
                <c:pt idx="1">
                  <c:v>Inisiasi</c:v>
                </c:pt>
                <c:pt idx="2">
                  <c:v>Konsolidasi</c:v>
                </c:pt>
                <c:pt idx="3">
                  <c:v>Mandiri</c:v>
                </c:pt>
              </c:strCache>
            </c:strRef>
          </c:cat>
          <c:val>
            <c:numRef>
              <c:f>'Pertanyaan &amp; Jawaban (Insight)'!$E$129:$E$133</c:f>
              <c:numCache>
                <c:formatCode>General</c:formatCode>
                <c:ptCount val="4"/>
                <c:pt idx="0">
                  <c:v>27.12</c:v>
                </c:pt>
                <c:pt idx="1">
                  <c:v>2.04</c:v>
                </c:pt>
                <c:pt idx="2">
                  <c:v>15.973333333333336</c:v>
                </c:pt>
                <c:pt idx="3">
                  <c:v>23.678461538461541</c:v>
                </c:pt>
              </c:numCache>
            </c:numRef>
          </c:val>
          <c:extLst>
            <c:ext xmlns:c16="http://schemas.microsoft.com/office/drawing/2014/chart" uri="{C3380CC4-5D6E-409C-BE32-E72D297353CC}">
              <c16:uniqueId val="{00000003-D972-4F56-B6DB-BE6AF53A7A6A}"/>
            </c:ext>
          </c:extLst>
        </c:ser>
        <c:dLbls>
          <c:showLegendKey val="0"/>
          <c:showVal val="0"/>
          <c:showCatName val="0"/>
          <c:showSerName val="0"/>
          <c:showPercent val="0"/>
          <c:showBubbleSize val="0"/>
        </c:dLbls>
        <c:axId val="1330054752"/>
        <c:axId val="926502128"/>
      </c:areaChart>
      <c:catAx>
        <c:axId val="1330054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502128"/>
        <c:crosses val="autoZero"/>
        <c:auto val="1"/>
        <c:lblAlgn val="ctr"/>
        <c:lblOffset val="100"/>
        <c:noMultiLvlLbl val="0"/>
      </c:catAx>
      <c:valAx>
        <c:axId val="926502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547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Rata-rata Nilai Per Provinisi</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rPr>
            <a:t>Rata-rata Nilai Per Provinisi</a:t>
          </a:r>
        </a:p>
      </cx:txPr>
    </cx:title>
    <cx:plotArea>
      <cx:plotAreaRegion>
        <cx:series layoutId="regionMap" uniqueId="{00000000-EC94-4E20-AAED-63CD9F19CF6E}">
          <cx:dataId val="0"/>
          <cx:layoutPr>
            <cx:geography cultureLanguage="en-US" cultureRegion="ID" attribution="Powered by Bing">
              <cx:geoCache provider="{E9337A44-BEBE-4D9F-B70C-5C5E7DAFC167}">
                <cx:binary>1H1pb9zI1fVfMebzS03txQqSACF7kSxb9lj2LPlCaGQN933nr38OtXi62W11NHFewEbggUV136q6
27n3nmL+fjv87Ta5u6leDWmS1X+7Hf7xQ9A0xd9+/LG+De7Sm/osDW+rvM7/aM5u8/TH/I8/wtu7
Hz9XN32Y+T8yQsWPt8FN1dwNP/zz7/g2/y5/k9/eNGGe/dTeVeOHu7pNmvqZZ0cfvbr5nIbZKqyb
Krxt6D9+eH3T37z6eJf5N8EPr+6yJmzGj2Nx948f9n7xh1c/Lr/uQPSrBKtr2s/4rKXPOOFMUCbJ
wx/6w6skz/zH55SSM0KEoFqwJ6lXNyk+6WIJ1U3y6vVNd/P05Nh67ldz8/lzdVfX2NP9f5ef3tsB
dvrRYpB2m7cQgfPzcZT/+OEi+5xnd3UIaWGduw8P3XzexcXqfts/7p/+P/+++AEOYvGTHQUtT+3U
owP9/Ov27hsqRpxxZUth28o8/NF7ejH6jDDJjCH6QW38SQcP2jm1mONaefjUQhv/ci3YxHemDAd+
ErdJ+3QqxyzzhZ7Cz7RhzJaGPmrE7GmEEnbGFOM2POnhF55kP2jkP1nRca38+cmFZv588L1p5yYJ
n07nG2jGPmNMUzgDf9QMnGEvhskzCq0dxjDnxDq+oo/7Ty118a/vMWY5N1lzl31DVagzISS3CXv0
AbMftihRZ5RrKbWxn6Q+usfJlXxNGQ87WKrju0whr2/S37+lY9AzxYyC4bPjyZ3wM0W0tolQ+9o4
uZDjynj82EIXjz/9zmLUPdxybqqb5ulovkGkUme2jUhEvqQQeMFupCL6TAkiNADZk9QH9/jlrm7+
ItTa+ehSMc73GLMecHCYttXTEX0DxeDcjdbcqEdHIcCfu4qh7EwYKqgyC6C1vvnLitn56FIxF9+j
Yi6RF1OE8Zvs1bf2G4KswYCtnsAw8vxCP/SMGGUbzo85zp8re85kjse0e/fZ/YKFri6d7xAeX7fJ
TY9a6tvXk0g5hiOlqAUGY+TMJrYtOZVPOniIbE915NOSnp4ec+rjGjr8hoWKrj9aHMv5zhLQnzb3
6voOFfvNt8Rp7MyglFH2V+OdPOOoLDUVR4uZ67xtgld/rvDlSjv8hoXSLq+/c6V9/LYpipxp2xbI
UOYpRS08jKozwAZjlAbmfugPPXjYfZ75b3R18AVLVV18l6q6KxAF2/tshWbBzSvnLkHXK/OfTu9Y
BHphz4CdaSIZmjgIertwAmUQl7aUeHCvzUXSQlmGBVlPC3p1USc32ef6uYUdD41f/aKFBp3vMYm9
vUna+Nt2eCi1ba7pEzxfoHNmzgRDvaT4wsNOr+S4ep4+t9DG239ZQnx3+ephM68+NaiZnrPUl7kQ
OVOcUEYlfwp7OJldV2L6zKC+ZfitJ6kPYe8qr5Cjno746w3z46rZ//RSQZ++RwVdtfXDAMGHhr45
RLeRn+4xhXxswkEdu3qi+owKRTWVDx3rhbbuYfbeCp+0eSwMH9fZse9YaO7K+R5T1d65vPrGwMKy
z6SSCpB9X2FA7KiJgRD1Yzh8UsgOqthb2NPz/1xh98Bi8R1LhX2X2P39TdE+utir1c34DeOhNRe6
QA7G2I8BceFnnAJaMMkNWfT07hE3ir7m1f3qXq6tgy9YqOrg+e33NcB7UNq3r7XUGUCeDWDxNGJd
AHduzjgeolP7GDqfVPPgaPfH+l/p7OnDx/T19Ow709VTt+B/UBqjJy6EQtBbtgDNmRGazj2mYwp6
WtHTs/88Cj4o+M/PL9V09T2mrKft/A/woJQSM41HlIF6d5G2BAIkSBnQ05MqdvHg07qenv3nanpA
hH9+fqmm7xK0X7fpTXP3P4CD5EzaTM+17xNuX0Q9AnhBOedCPfSgjuHB+9U9X008gwS/fHqhqXuY
+OXhdxf4HhX2jesshhE545LaT461X/uaOUehDNNPE5KFup6cA4v7K/pafHyhsOtP30GL/et2tFt6
7v3WS7la5AygD0Mq+sWnFrUwFWeUUo6W0yMT4inKPUTAHQbV19d03KF2Prq3hf8PtKyvU7a+ENtW
6I6v7xlxO6yt55/ebxNUvcVHnyPWPZzZxed//EAVtTk1HD7yhW03f9Fe23WbVzmGYUn+pITFJ+8w
OcRXMX4mJcgp4Eyg2pIU6WwG6fMTegZBjAmuoFAxS8vmngYenRGQKJABGR6jhTjPVOq5Jf+PH8gZ
p8S+b9prgk9iKvaFlvg+T0Y/z74czOO/X2Vt+j4Ps6aedwaTKh5+b16vBnkAHEClBKajQjEwN/D8
9uYDuI/zr/+/zk7irlYhu4j7uBFu1NjdbTjKMHcYKfnthIX/1k3lJtH56K9MzApv5Vujft2XU6+d
vioG4tDOZ7Hbmy4NncIIadyijNibNgviwhV+00TOYGTvTJyMvVO0ReG5STGJ2pGCybUa6+xXbQXZ
DWlS9r7oLO47ieqJdxEmdUHcMMmY73ZxWv/KhshqnEE2vr9SgxDXfUfLu74y7Yds9AvPybNAc6e2
g1w71lR4hesFir6XleLDdhytjDt2lgyfNC+jyyQvle0ElTe9GcrCpE5nmtpycm6bzVhEobWyuChu
2ya35UqNWVieh32Y+66puuyGmtALHDJo/vvAB+v3pK+yyM2Cpns/RfUUOb1uWeSGftV5TpxExbus
4pQ7qmhyvtY0bzxHlr15G3alNOu2HHXl2PX0E2MkL5wy16lc2WMclmvTN4Y6Q10Pg9MEvBvdfih5
4dbZRKTT5kqXq2oy56TPI+FIP4kqN4yLOnaiRqX+qk6G7MJUXtC4GQmz94Pyy8+mtJvBZT2NRrdu
YX9OkTRUOGUo0taNh6rYpJOigxPmLP5pykfxOVfo2a5CJsRFUwaBcDAT7IeVoJO6qsIu+6nnWRo5
gZY6W4+jpD/Ho62v7L4ocrcp/LF1gwHIwgnqVibO6A/qdShV3bs+HRVxwj4IO1fU7XjpJ3mzacgU
Fu5oWu9CVkFYOLYOi3wTjTrOVrkndOLqPiOwgobXqypnJlhFo7K1m/I6zdd5nNu1U3G7sJw+SEPq
5nQS11XhZd3G0mF+Ptmx52prFKNrBupBaUllJTDMhpZOUXbFz7WlBHOY6cu3SZWqeKN5It51kU9/
MlZVtU7cZ+qWN3IVRZRX51lXeaXD/EwP7gyOzMrQUP/a9SIrVzGl7DyI0A7d1LQLg3Nw36Lfs8xS
+apJp2vPy5RYWUlOGncnPB3xdQSNpadzRBNUqYoAB2jUP7ueXotyjBD02ot4iiInKRq6CnoVOJmd
0dXzouagsQgq6DiBByaAOZicyWC7osrWJ/Yox+4ib/1xpcfJvuplk6482/PdMfX69ez92+eFHkYy
RrAtrSkx4GjOZdyu0KDOVKtNxC7aNAnW+ZgWaxmr9PJ5KXT+mv29zd1qBhqcwrQbleS+mEkVpihp
wi4CxKBN0Hv6XOk2cXLdJ1cNo9aqE1PmjonkmyzpAkfHfXTB7ahxuz6etqoYg82JNR3ZOpUzwQXt
VzXDg/018YEbazQDuyAd99ZVUFXrqbHDjSmT/sonRePynjbOyKJxJcLG2lQ8al0d83GbWHa5tptC
rznP6hMLO7IuxZCtlBEGC9NgdeyqRORF1OvajBdWpciqbavBiVmdOs9v/9CwGUp6aRvQc3EIiuxL
CW2GJEbz6aLOhmw1duoPWZds1SuaPtj1IwR59KGH/HmbF2MV+sEjs//LP//59um6wD3Z/M+fz3cD
/vzXu+Iuu26qu7vm7U2x/M1Z3pdfhbhH+TPE2PvHAeb5Cqp5uILwlYd7kGcP3O0BFwrE/3Wws4MP
d2DS/JlHmCOAWRA8OApCibsEFJp+gDlG4gElVNkCkwGOiwhfYI48A72dzSR3AiBDiYb5PMIci+L7
gIXxUMBsoFv7JTBntrMdn7U1vBUkSMQHdA4IKp19C5GVLTzZGrlJ06axV4r6beCwyfTJZV/QIt3U
VkCGq572YXpeBiS1XLtJ/OlEBKazJS7XIbg26GBwAkNdrCPQJBoKrxWbjieabYM477Mrorp4cExY
kj/GLA1Lp/SaBMDLYEFyDPMVScrgekd7j3a8i/uAOvcXoiWfgxhDwYeTsRe5YGC+qcuhFhtW5rcW
6L63iYz736ysoevWRMOJjR+cP8TNdBM0rW3MYPXswTsg02O21TTxIDZBo9lVHGlxGbByCp2eBPzK
IkNn3Di2pt91RuW5Ep790/P7XQQiG7mIaw6sKxAoJGLE/gJqFiSqFL3YiDoxG5O0yQfh1+nLMtCD
FCERijh4NeCj70vRPGvtsac41aTKf8lV4q39pInePr+XRbibpQCoE2Yjm9uULBF7DuP1/b7km7yv
69c9qUe3JYlyh6FpT0TWw2NTyHAoMqiUuBtxABlMNE65EWzTN0l8KataXYYRCT++dEM4K5RGTCjb
pphs7B9b1tPCdJXVbXodNWuVE/26sUTneG2c/Pa8qIMNGaRsBBXNucL/lqmi9P3YSmRtbeIx1S7J
49QlQ6FPHNuBhgxUoxQaLgatZtj8/ob4ZEYpc+1t6jG0cuTjMg6dqbbzwB1Dm35+6Z4k2qGMU6W0
FIbNe95xLj8KbdMp6m2iNhOB25V+3iPfN82nl8uRiMYMslCSziSJXTndUAH8t5W3KUyQ/mSThDla
xOSX/07K4uwqLUtfFLW3aa2yvchjOW66MnohZEDXkur51FDog8FzX3vv7qUEAGddnPUbnRbjW7+L
O7edRPazH1TFxfMbWhoDRAGVCpDxbBC/iT0/31FPlPlpHFVNv6m9lDmDbyWlU5GW/KptxIsTlseX
kXaWJqgk2BYm8fZ9ub8jLU11EwSkGTbZxEO+qYM88uZqzLuMeddmPwtVkWg1/yVeR2ngsUtRF7K7
alH1pC4PWspXqEB7VGIeaQcHZWzxixBd27kqKrL2Z9zdy8vr2o4NkG0T69ZJaVyOjpB9Ma25Toqf
8tQK7VUlTNGgSNThb5Rldb8VjSC221ZAgZs+nWh2GRaF8S5SUqvtFEjTbgvd0/SiV1bT9k7ckao8
H1mc/cxIV71RtMoaJ2m4NZzA9IcqYoRzXFpRCD4oWhaW3bYei/yU9JvUi7hTDpyvRBnamyFKmhMK
mr9qFwHMV2fAn0X0Rv6XELhvDaNlB5nPRL+JS2pddg227nXltMmyynpPCju/tEAS/PBSE2RAYMgW
nHHcP1jmJZCqyyEP6nGjYousQ7/NO4cIj57rtkiDEzs8cpgIsfezUDC2+cy037X32q+zAEc8bMZ0
aN3B64eL+Rwc3kb26sX7AsuVGDZH2jnhLkTFjKKN4Y+b0TLBNirS+DfVD+l5n9T838+LmsPOQm8c
fSuUMorYDBX0viji+R3vimHYWDLqV2ZMzOui19N5mKXsTU6s4RfT2i2aZmNkvTiAoDsIJuHMDrWB
lRegMeqKRNtpNmyqNCLxiudRkbh2XY6T25m079bP7/RQf3CFOSFjv8zc06529VfapmJ525FN1hRs
zQP1UzUFfJXGWXpC0jIZ23A6G/kRiAzlAQLk/pkqOwxj5Zlpw1r5uW6kt2msMX6xb0MINoIQrOYq
YGGOAOGqMWNONnlYBE5ZqebctEHr+qTVLwSZ9/vZEbXw7bxWhR+OKdkUHZpogx0U28FQ9WJzwIaA
LjBdQ2NFqwWURV5ObdLY02Ya09Lhsmm3SVAUDrqc+YmzO6IggdvhFPUZRnmwwX0F1YUVTbQMyYYa
yddZq0anEKU84cXLWgTHNl+8IQyZGEmZL1zLVFZDasTLDYuiLHc61XPmZAUJf6/oWK/5OFnhCZFH
bHymUqNNZKOVCs/a3xiyiSJpqcjGrtkn3wqbS50E/2a6rl6uLJSdQIHohaH3LheCZDrWfpy1ZKOy
cPzYjX77upuaYDvqYDzhTUf2BIBBYBrwWWrLhTcJ3kfxNLFxI/zIM+d+oAu2RZ+80mhnc284fz5M
zCvfD4gcdRxTGGGA50zkQmtpa1t5mssJOM0MblmVvzV9rk7UjUdMY0/IMvQhm4bcnhAhaNDHjslL
uiqDwbXacfrIK7SAn98UPb4rg3v5FFapl4eY1cVUVppNaJDVVeJ4WdL3a0920+CUNFCty9NM2mju
tQy+V6AJ6oYiKGJX6zK59iiJL0XY5v0ajCHl/XsUVfHb80s8XCFQEhpdZK4w0fObzWAH4I3cD+0C
YGtTR32wDeviV8w1+IlzPyYEzAv0KMAOZIg3+0Iqyy/ySMbDRtik/Hfqae8jfhSekHKoXYQWwCEJ
8tQ80lpIoVYCLBlY/WbUSegM03AVjcVnL53+0AE5kb/5UWHAHRSHp4S6f75zbnQUZUwCv99Ume13
6zxkreXGaZRPVwNrxeR0QZr326LA1OA8HwuVvxnSrnxbkcpi7/08LpKrVFdGNW5r8aq79OO8rBwr
80ztDmhzp46qpEjXLZHwA5PaxXARwVrGc55Ng1w1ioRsW3FZXMdENO8IWgM0da0iMB/jMgbocII+
yYbXURNO2Woicdh9ZpUqLNtJ47K6RYFRcCdEJO0cgJ7og2z9mL04ighMmHFKCI94PwWbj3HnmPx6
bPNEC0AqWyRr7nuR24bCuEyQU6IOjQy4D0U/Ust8ZXbZXChKbSG5lP3G5Nk8mevYqpShPAFHD3pu
NsAaYUIjKmojkMj2d8RyEflFy7tNjTlL2k/DZ9bX6Ub5xnLDcSre+O2Yv6mbfHItNrB3GclOLuIw
NoMZPZOWJE4XXbCFpfeat7GPWdImGcLE8SPT/hJ0mFI2yguvXhof0OZEi1Oi6TpvdxGXY2XKNK0x
3FKibR2SA3RPvhlXz0s5siHkTaR9oSEDrZv9QxW8srKoxIZQOWVOJCf2YZpQO7GoZK//iqiZ8KqB
EoxcBDxixXXjFzVERV3ywU/Czpkr2d+I1Ud/ZVcKI3d0b5BK77PDjvHbmvZWERbdpqzDepurMf21
wMj8Svk0jU/Y5WEhCD2Bl21wldIWhs/esSOLDJHtGdlCljHrkIabNravTeO9kwHLHZ0I74TAYyqb
A5+2URWhkFmc46R1Oxo1C8yJv0LoTdYZEcN5hmLuxeeI/hq6hWgwI4VotkjbGB+XY0ZZt2kCzFPt
pIycVAZ6nRbDtHneOgyOaR+G2Az9SSBitFY0fGv/GE2l26AoB7Yh9aQx4pVVWa4HoOLSIW1ZWg7y
W86diI3h1Ugnm7nMFtP4wpYsrr7OPA04uQ0OKdazv4qpEcJiNlbBy4n6jmdNk2OPTXMR6L47cbiz
YSx3jG42uPtwcJQPC8NRQ+I3mHjzjW6wm5Qn1CFWEK+fP9dDa8HUDEwNdKyQDfQ8tdk1z6xOktoK
C7YxY/XRtEl1HmRI0mCt+NvnJR3bzzwexLkBtcLv9iWNsgmKamjYZqBJ+z5RtXT9BLPLF0vBm3sw
fZJMYBw0vxBjdz8047Ylw8raYGKduX4h2XbuFL+4AjSYd+PIDKWo1uUi14Q655PV1/4Wg560RTRM
M+b4Vt7nJw7tUD1mZg2heKV4Qxma2vvbkWlh4kD6wbbO8vC1qkS0bvHXpZo8dSJuHAYqiEINg8EZ
XhMGtLYvSsQl90Zr8re8zJhwi7EFOrDqBL1LvIWM/tz2tA23o0hPbvLQMubh35y1cfEI445FKrOG
2DNCheE2AmYDpyQrwwGF4Zi/1DaAQoE/YYBQGbpkix3GAVJcPKVsk9fWsB5nQo327O4E2j3YDRIy
OrIMbzoAVkLzb/8cO9Z5IWbhaPUNynYb0Q9uj/r+RMl+EA9BEER9ACYA3i9G0QLelwJIaYIoI8Om
ruOmw6u/Gmo7ijQkc/s06uILNDeNddcwkSm3SFgLUpE0UxC91GpmouI9OuBMcwyF99fRFU3ldXGC
dYj0Dca8ctVL9TYx9H2fJe1KmTo/IfHI+QqELKKEscWMtRYS0V1oRoVmBR/sctuNdr9pBu6/eWEc
AXWI4gVIaAXOLqEXUlTW0UyRTG3btCSrTJfwiL7PTljkfDp7MR5SYCTwOmwEROtFPglznF9qJrkt
2jFwqhB0pp5Vn7Mkt1bP7+eYJDAA54YSuknA4/un1qclTbMRs2idss8KmOSXXOPtfNHk2ycscz6Z
5Z4Q30HQwV+oXhcRuLSCipk64dsgF8RJhjxcDVJj/pZG43VqSXUJcmD5ZijyF3dGcJp4r9vcMEMT
Sy8xQtHWUTfkOd+yWiUobHz7vBvTbNVGjXfiOOdNHGxSKw08N29RLjYJZtvEWwJRQU/jt6PpiZtj
pvQpsMrktZq6+PZ59R0YPYo+9E/B+gFTFPIW6mumPhORLPnW5lazUl2drvkg8xOh676RvtgWAjC6
GZidYoo/v4FgN3vW/tB5jKOf1HhWFbmqiDVZj3bZVk6XpSN3xj4LgL6SwiQb4pfyapJj+csUijy9
0GnKbAcRdgpdCirAbd6XKWhgguS5M7BYtu9kUnenOAdHLHuGMAiHMztIK7a/Zsm9TmAMy7ZWOjTb
wgMnLPCIfylrYb809EALnNx76zxUXhbNo4lggFPPtp7VJmAXjM25smJy8byuj20IrUr0yxEUBGgs
+xvSLK4ZtUuBpg/NnNZPjZNJNKnCLozO/4KoObzBa8BBXka5GhUxqJKF2JqOZauEx4WThdza9qZ/
abmKo5tvp0pkchCdl8y1oKuqwWOp2Ca5ml6XIhRunND0BC47dnQgIKELMDOc0drbP7ooTgNEWYtv
xdh3oGtq25Ek8FYmSKwTYW7JD8R25pd6akBz1MUErLd9WWPd1r2pI7GNctVs+l6ZdTONdC18Wq8Z
HbJLK+b5GwV+8Mcor8Z3RdDnK20h7FlcTg4KM/HyqIRBARIxzhgQZ37V66772pYZfQ8wawvyePhO
yEH9lljlcI4047vZZDUnkuSRKDgPJnDQiiHcksURZCyhZeyHcktjQ9xqyq5aba3akOarKAw/P2+r
x0IgmI/QH6YHIKssQqBpTWt1li+3AeZvGLIH/EMTGe/Elo5ZEOj4QCpC4n25S48IQfGdwFCG88kq
veomWa8KdIjPrc6nJ0Qd2RBeRAqUASYwLu0sk79vsq4YO4jSSaO2qZXAdjKuTlQQB7Aeb9PCXBGt
IqKMhFHs24QookRaA6JJFutqBfLqsBZBmH6ceJpf5IEoLiOVn5otHsEA88xl7vYCAKNK2hcqI7yr
MK9itR3AQS5WUdsWv7dYSu2Qfqiqiyix484ZRubdEB1Nvz1vKUd0iJIMd2zQtALbcOYo7rpBLgc7
GlIB7MYadPWLoLhOlSW2gQ7K9fOi5q9aJEwDuiO4MhIhAGygfVFDDi5+0WCj0KYt13U5pcqNG4z+
L3NQdZhjYk8MThWx9r0t+nrYlkUX+5vnV3H0uG1YKyoO1Df2/HynxxTkWd7kI1VbNRYxbgIkXpus
4mQK3hLq9blT6bL9AJBerPSQ8RPCj5021In3us1Tc3S49oWDxFhGli70tmtYva2roj8nllIbi0/R
idM+5jG7oha2XHddg15drbdtVimXTANzqC/y1fOneUyKjbYWR/cAMHJZCIf91PEMQ6Ct9qLxXNDE
XLCImRNY66gUYAj8wT1Y1Ir7xxaaPqvtBDozqRgvah79OretTjj/KSGz7nYMo+eTrsZiUFsZcLEh
crgmk+2f0MqxCINbusgCM/VW6UUW4CM4pmLm9sR98wbx23PGuHyDrljg+H14I3CR5ITJHduWQflr
I/mChbn0OhbZYVVlKM7AAw5/QW8/ftNjWpadgHvHLBsvI54JtJhOHrTYMysIeRQmEBPq4bVCFe2U
k2dtApKzEzs6FDW/DgyYEm0eg/teC0X5GU/1SGBzWQgwMTN6Vyn6Vs40pZ+ft+6jkoBXMIwBHENT
ad8khqAZhjS25DZkfblWmWWtRlrqVVNmp4YHCl+1HxyxKQEy0oyVQMyYDWfH+hJOp2hAJt+Ovao/
DfA1N5iot2pbyjaeasIXA2fIgyQEQrz66YD9neSVPSGVIhjHpPkwTwhXILL3Vx0YwevnT/HQAu8n
WXhdkQGdAa/d39+aRlmZJmkO04iS4JyUheUaXOVZ/QUphqFdBSYZOfAsPRWkqidsKPLj8bwlafe2
7PvkxODlMIehx4H7O2oum4EQFv4bRYTXc8d2SyeOO3OBJm7T+902i8J+k/QdxxW0unLrqmfnuF1y
ql92zEowinlgaaADNx/1jpXoxkKnVveIUUlP3Qx0QofUbfnWC71yi0tx3gngfpgsDZyM2RT3VNDP
p4tkmVdpnqMYkltpV6ALDTnJE7Dy/fhz1aFvtQK1wv4JjEDvqsbU4VRMOQyWs3QQ5kBpkMDqC+kU
F0Nt0/RwPzPfm4qNqvqLoS9FuvWqQCarpjXqsx5rlGIvNqZ5xI97xyiQQCxY5Ok4qRUXqDy2jGX2
yijc7yRDfGrWfyS8UPg77iehCoP3L3xeRDEuXiSB3NbYKgwHnBGWCeqypslOZNBjovh8/wuMRxAt
5cIHuyCvSIJbaVsW9bpwdJ7g5uNkputgLJLt84d3VNYM8dDBnNkSC1lhnKIQxJ3AbeDxyU2sOHkT
9kh5RTicujxyVBTIh6D4gE0MC933h8wqZm50obZlRYZVLhkK2RLwSqO/ccIkjrkCx/099FMBQ8T8
kvdd16t0ZGrGKyCdRo9vmd+zFfN8jvtrtvgkRFaclymfnLA4GXOOxE90V/G2HDQkJWqgxXmOxPNY
NwI3TyKU6yov022kSHlif8ekAA2DSol2MV5nvzjKpNBpOGLSsaXd1K/LvrZXfR+fGrgelWLQGDLo
Q4EgtcioqCraoEyk3CZVFL6rhEjfWrTj189b4DEpEs6L3glGW6DS7OuqtwMhEKrF1rd8XNEgfbhS
MalOBMcjxqdQjsIcMDp+eEXOrkVkbcFNTmS0ZbEOXFQwoavB8oUJTC8+NqQ0wA8FHCLRleYLE8AY
NcR0uY62Jk88x/RBtOHZcKpRe3BskCIEEhwF2EHoXUgBxGdIaDrYIiiV570eo5XBTeAT3a2DY4OU
GYjOo1TwyZbXrPyakazSY7AF8OoSZ0i85rYvfXuVhKR+8WB4Foabcig6kbQPui64XFrjmhVIYaUX
5rdpO3fZu2A4Ndk5bHCBGYFTwzyQAcUB2+9bXO6pzsRNHG6HuSv8qbQjTQtnDHG9+GeLG79apVYT
lX8Uha+lQ8d8yFwjG16uy1wNw7mcPGJtoqFT4btR4jLtr897xHwLcR9fossHeIn4gTyDWdAio5E+
bRKrhrGWQ5qtUx712R3H1Xq+MnroaOUGpezIpwkuVW2Kwhqj6xGX4vmHJhu63u2oyprgRFI6ZBbq
macAuATqGYxrfqXDrgeVUWRSY0fhFjTdcFi1TZl0jsg9b/yAhqGtPoR23d1WXirpL4kVdeWvhdSF
cH0W6vAN6KORv7YC6qnXUwhceEl1XpwiuR8gPqwRK8PLDdD5BQRaID6rtNsglyTc+lUT5+vQ82nn
2rIrBjcDdSN7T7NUSgeNirDDNQKc1koHPe63n1DgLGevQEBxjXYtUjhoDuCgL2Iaw5WPskq7eIvb
+021ykJYtWNzz0t+8/x20B/pwPKe4//+IIyCxGEZl8lNnpPy9zIDK5Sun1/PARLFctDNRTjAPX8E
2cWxxCGxeGzn8ZbJcX63gaGZO00efUdDf3zbNHjFxPMCD4MThrdz5gWiwOh72agC6aO1Cxu5z1jS
f5c2NLmFpb+4nzGPiHFDDUQueAmmY/sWCTYk5s9BkqJxyhqHmTRzi4g0m+f3co+bF8rUYDmJ+eIt
mn72QkweTUI3GYm2wIDoKiYq1KNTtl06To4IK+afy1H3tisTj8pLtMKK5ELAUW7brJiyd0PK+HSe
250pXF9rC1eSWNCmK9bwrlxHFhVQfR+RVDgdb3R1Cisc+gSmvTgjEDrQ/kWFvX9Ko249JYsq3YbK
z41rqD+Gjp96krieXeBeC5qoultbLPHLNRitTLmUD8I6YRKHmQR1K5hFmPyglYcB//4yDFrPYgSu
3bZyrM77qr4tjR+9xkWtU5XIEWsHmWmemOLWvkQff19SQ7opwn2CeJt0Kv2E257BqiBp/Clm4/9x
dl5NbhvRtv5FqEIOrwA54GiUrGDLekHJso2cgUb49edrnbr3DEEUUXRZby5psxu7u3dYa237tI6V
cuAgO84ulcRssh4Tl98Wote8bJtujfMwU5Pk47BE1nq2M20tHj/F1IZk1x7qJxyozbroP2fxlFll
aIEjOS9o4iR+luXL2zkb1u+iyI+qkrefjE9lcbqInGT6LBf+KoFVBqPSI3Otw3bUivezsShnq6Bl
UHn9g9Ie5FX0BOGVw12jwU7P4NrUpHs46ZrV4WinydleXAu+aW1B9BNZ9WgoKG0RysCfdaW82+Zy
bhGzid0yrcPVrXp/scf0PFgwGwcSyYOHYG8HX5uSZ/PVDpaKsi5Wl7ODa+UElT7NvjPpDUdOtQ7O
163Xsyo4GpxwAnZP39zx80y6UNtdHeZW0QZI07zJNdHBcFQ0P8+d5cDcrdNLc0glQHchhpIih69X
ZvYlNZy2qcNsyNaXrIdNQIbaH4Sft9hn+a1emdncGuNKTDEzfhEeUpec+imLfrjzIk6rGbd+QVMu
MIjYJj+2s+WNJ6rh+1QW7sFa974ifRCSY6oM5BCbtS65Nir0HHGYNR0/FAso+EVRxaUztebgjO+Z
AsDHIB+aDoBPjettXZIaoGaUy6Qx+wjhtQu1Dpi1mJFzuv+s7fkLoEVEXdliakYbS61KVkzRrAjX
1kYmyI3yoFj7N4oKpF+Nmr/vW9tbF2hrMgja11jcbKE30ESym7IMFWHpJzVdtIuK6tdlEHpysIV7
nvna1MZl8iF2IrtO5Hs3cvUvwFDLk+hFYR/cI3s7KDV0wNvy3Njb0omjdZ5eunEZwvWNv1Bo6P4d
kOd40pV+ftEyYR98MXkvXcchJukRyDtgybRXt3u4KlkM5YM9bAq1PinA5J+dKuo+9p4a/0OIt34w
RiHeNOlgHRRSd7eUjgTADdzvRg1pNtJsHhW8EpEy560xpwiOzBOG/sOnkyorUFTBXNN3v/b+tVKs
xEJZJFyS3ghMJwKHOmTLwT5KB9juI7E5pVJSP0ljurbSNTUF2NLBCkHzyegt+8vCyf+kaZ1G6aHX
XsrGHVP//gnY20OgR0SpxEBSLe/aqmEtFqxluwg1BQhlRyPz3JFCf7lvZe+c0ZCg0U/OTrC6WVuR
m+gC5KytykT/w5qKufiRxACVPlJtT/PTfWvyX9vuJNBdKl0mfBtui+s1cQLUNk3cIpxsvfiKKkVx
yT2re4qiuv9DLzM9vG9v5wRAA6fdL4vctP43UYJWjqXSxVkRgudWy89tudTNH0rmoQaWFN1a+qVQ
VvO5F2uV/BiarDl6ZHc+ItgbSutQcsjNt0EsARGlsmUswtpd7Ddq1jfvzao+WuaeFVBf5I4kNnjL
pu6GwkduptlahiALfpiwZFHbUR7GkwMhkEQpiY8H6r3FFBo5yjpWrXMjNzkyfEbk6m9Is6L64Ezv
eCR2sEK1koLGFndSG5RYEsDVYa72RTDri/6Sp7rn92mbP993j919MxFgIc8AJLEN7EhyFSfppzKM
HQNYWVbX8PdRTKnjy38wBCCTSxhWG5Tfa7+fl6pxzYxT1tdtdFbiKn4HDVD89rgVaJJE3oQD6C1t
4lQC2GIBcMqtC5wmGJKseaoM56iXubdpklcAF4NLkcjxei2UDfrKUHlVUlEm760YrDzQvGnqD+6/
nbtCll81SKkmjcxtU6OFyqJlilqFVN77U6marTilptkkQTw3ZDKLSb/sIHDbWxuKEXSfaTyzuM0O
mn3rTnlD9NgrugrHMZ3OeZqbT49/J/55GbDR6kYD6HoHZysFSUYaG6qCWo+ik0pMlXbUf9opCkI0
pOFs0rnnkZQ6rK8j7tVAa2uMhyqEMfR2ccolUEwPQNz0WY+HL8rQv4zCfFMb1mVdljxAIM87+IS7
28m7iedTb9a3Dc2sn3ujzNYqNIxyOIuVPGNIlObgcO1dGIS/1GihnNOGlv//dc60uqPqFUUVFiz4
qRmb/n3T0tGv7ewIJbq3II4W3Qdie9LqzTm2kGKlgNBVYTY1tj92tuPPSfxwO4+b1gRFiIiDxSu5
LUp2+rhki2jx/D53rSAxonR4XyMkGr0oi1X987g3mi5xNlcu5tzNeV5yNafWWpGYEZ/5jUi7t02F
TOJ9K7sf6f+sbCM1kCtNr5mkf61Zi6dV0+dzYc1pYI/z0Zu7E65pjDaVTQ4k31AMvvYH+OoU/8yi
DnXhaO+RlxtmpCqjyO+byPVr6uifORZHzco9q6DSaaR7UIYQEbu2WixGvqa5UoWNAXXyPMxD1n+p
RbH+bq+l932h2Nb586hq7X+49cnKJMuLihJBxrVhzOQKH43vlxVjkAKTEP5oOcMRK2rP98HJGLJ4
Culv+wW9JF+H2YHy1LXpciryuD9DphkPbuDdW4vrwiBp4R2j0Xy9HBDGueIYog6VrNQ+jmZenaPS
aIPW6+0vShkvwZxO6nPRKNOfZkKtol7FEg7u4Bz8kt0P+uqHbN0oUVsw1BSzykV8Q36u9BVP+ZQr
3R9DPjX+nM6/3z8iextM4cxzURtD03Wrc8BlIDIcqA7Npk1OUw/p3erbI2T0rhVq4MSJ5KHEPtf7
G6VJazcafkp9fYYPlf+pFl76H047WJ3/b2TjkzbgShsZsDq09DQ6T+bSBxpp1KVztPbxVBNGKELj
mAM5syXZgNtPU1vjYjFsxftK+Sf3DT3KDi7JnRYgii2vzEhvefXIxGYbNRoah6EYpx9IPweVq3/2
1PS7o/bnVonfDv34IZkHP9KH94UxnSrl39o+yqv3blFq1PIxl5217VNnK4tuK1pNfLJM0UvmifpZ
E3nzZgQOerCv0r03qZpGkx1/pAEOfXTz1KljbSk0iMqwMIZ/VUMofqaKZ62af8/Qkjs4a7vGqIvQ
AocTQXH8enc1e3arpEuqcHXaPvO9uVba50lxUBUWWaqLS4ZW+3+JG4gvgdHbZKOo9l4bdTrhDl2z
yLrPugYOZOagL5f4HE/qdHAe9g6dfM2h6qmAy7b0gGQo9MYUtFTKuUFsfVrrsQvQC5+OdJH3HASg
roy2aCbSF79e02JD+iqsrApnYobfenMyzsVQ18FiLN3BN9tdE3BGkJoSb729qKPW0RN4D1U4DE7s
G1WsPFlrYR3UzPYWxNvGgw5Pmkr/JoPvEm8Qs95XIdp4VSjmOQlSMXbnvlTWg2h13xR4ArBN1CZu
0H/1MhT12lTA79rK9OMWvHoQi5ZOrD6bdMIevu7ZNFl6kWIwbOT1p1JzxOQNd6xCM4+48xd9CdzJ
XA9S3J1FkRGiGAciHvbD9nrUphXqD3Acek22l/rWONXNcz/Whh6o3ZwfHWT5oze3Bs0EwB+UiSkS
bKkps0isMl1FFq55XCjvKMa7sZ/EedcEdhsZxfu68ezi0uaO3V2MKHH7g5O2t17JwwUSDdqFbsP1
rsYW9NFMN7JQLZfx49At83OqOO5FJ/J6/L0mEfhVqZCqtFt10EqbFV2BVBK2llYmz21l1X9wdyRH
qPKdJYFxMXQgKORxxhbcMVl9aTi5VoTDAjHGofIeuox2CDKkXQ+OwM6ZxpSUApHsSlqi17tXMJCg
SAuzCGfdYkUCZcHamx/G4oPmwx8J8CTO+4anWOp2bc4dVrKiKZlxYVgB8NLh9PD5kmJREO2oAN6K
rJnj3MneK1aAXf6E81UGVh45/963svdxYBHzgKCjSa698bdstEd1UKjSRqWXfaYz7hp+oXfjc6Es
8UGkL3d/c7gI2ogNsUPjeNunXojnxmlKi1BYffM2qTpy3JoviaCKiM6DRmoI1f1QYXVnibbkTBGL
M6QM0u21U0y/YD5pTuOnyKagzxoGfhgT0Aljng6+2V77DoUH+cVoStK4kIHCqzCrNaqqF1lUkGRo
fylaAuyksX+IqvvmTqXjr/Tw3muBefDI7Li9hEBDpoOCAhFl8xG9sU2zcZkpz1XCeVptRT/bRuc8
HlFJJU2p/ITGO455vTYPpVmVDmsRps6a++paV/7krc/pRAHNKKP/cJYBXoHCpFuH12yLws7oCDC8
eh6qiVt/dErbTIOSUtt8vn8C9jYPn/wFrEF+aVt1nEBGuSYUTlqc8egDMqyfAYYMB/f6kZVNlUJB
tycGqV2EalMbFzeK8hfDzqdHiYg0yWSt7BeoEHT65hOVSd+UvVVx1Tbk0nm/NH5qjf2Bl+8dqNdW
Ni+/sGd+ulZwZ4wRIsMp4mnZPJVnPV7Nhy90OSfCNGgR03Wncn/tc4L5PapT2AbU3JnKfdw6v1eo
Rfx81AVIjYhuJf0PPs1W+qIRQxIvU6+HcYkLZKvRn9MsPVJ63rkc6PNBnpFaCmBMnM1iqm6c8klJ
tTBWTb9Slo92UT0tQzf4qdqEuZ69Q5370ttlCEzzIFq7zVBsAGpS0RI8HEnD1v/ipAY6DZ+a6SHO
+JQPRv67geqziZqDWb2Jyjw+0pS6dXkE1RkhACiYBiflnetvp5sj6VeMSXf0hktZ5vO5XJPhIED8
pSlz/apQs+JFZmFAdm983vWyePT0tA09Blh1T56MyoIiHvs8TOKySk4AmYounIF0ZOEAgbU7GfkY
db41GQWzgxpmY/lqMhfDm7rQDOWSiDpXfXPQ8+5iTgvxEASB3vNTJxfdS5aq7Y+0Xup/hbY0JZO1
Zv5+aWpR7xP/dkuQdFWS+CWlizwoI73on7wq6/JzXxv5z8YC8vvhvvveij1QbAWxxLclHAG0t3l1
RkK3kfIdpR66dVmQ1HYdPyutNUBIGeTYrRxg6BS065R+GIymHoJpWtcvUY5Y6ImwIAYVqk1FdsqM
Kh9OfTuOhk8JMtZeIlE7aaCXBpPG7v/q21tE/mg6xEQDcE63KDJTqY00jjwqqovqvPTJlPqVEMmT
qo35galbT8QU7kEEIDkE29KfNQBgrgajDh2jbU7FuI5BJ8ru4H3ct0Kvgi60FJDf+HtRI0U3d0od
2sXQhPQ2hvdJ1KgP34isxWCchJTRpsq++daeECRzqVuHBXISbxeG+KDnmkePyqNJjzLkFCDKyWDv
Nmsxskb1upW1VDkVy5oJbQE95hVROHEk4XcbFWIKthgXPOkO7Yfra6Jw26od17oJ06Ho3olZ1T73
XTaeY2tawk6LjCBN++ogFJX/6ObSkPAO2b3iXQE+fW20KdtFBxHRhGKa9c82j/Ol7+sYvdDY82NV
6Z9Gpg0FnqNYl/tuv1MglnA/rmDwmgxn2BbaW8/plQjCWqhHRdFc8r7O44D2N7WUaWj7b6YVWX+W
CSfmMgl1SJGujTL7PK9q6wQ9LQj7IAC6fRr4QXChgBgQ2FEfv96LwXSSmUZcDfJqhhhbehE4d60a
vlIoK56mppi/39+CI4ObcFXVGGKQVTiX6uS/jaKyPsTRJD6pVr68j6Mj3siuNQl9RDEBP9vq4jV6
ZHXdyPKSvBo+AaMffzORg/oi1PEcFdN48H33bgEkJ/Bn2cm+4Zcxqi6pqoRrzRV19EcPVCqY0IX9
eX8L9y5PgiKpws0ppft//c3UbDHcSOWa0egSntM5Vz7ns9G/W2Yl/nbf1N7+waFXCSvR8iQhvTYV
pY0JptLFFIIAf3udW10YveT5bLgbunNcHkAg95ZGLw8dEoqavGZyg1+lUB4Cs0sbt3XYlHbxrokc
PUBFyzhramYdxA57S5PYGoqnBGUwiK9NKWkkFMul9p7Q1RjBWK7ejEyY480+822c+I1aK1528Frv
OQj1aMIVidhGbuHaaBIpej6UtPdKQ/QMOkSiuHmZVHWpvjz+4QgyuFINCxT8ls2mlMu0jHnZhK4S
lUFux/EXK1GLk4IGzFnRivVgYXu7iQo3zzlEcZpsmw+XrWsbCZ2D1lFLDUq6RG1QaQxJLIEivkEt
eDkiNt1a5DXHLxEuRUHA3mJyk2WdF9Q6cE1GqfpR6y0+LMSfqN5/HeEHHUQRe9YMGrM4J/p4KKJd
f7hubpPBmHqU6ladoaFOh0S08Bbnb0vJ3a8MObU/3v+AtycB75ANS1AqiJ9sT14T1Q07mXWh0Svm
2ezV/lPfTB0zIGPx9b6pvbXBXZEjb2g7wxe8Xptt9CZXstWEDeioz1ExD7kfRarJeAxexGeHeThH
A31uzwEUS7BtkpAGJmGrrth2q6OmLR8P4a30bM1mflrn1TgIl/b2kLoWtTpw7xQF5f9/dZsQyUMZ
ZIRbGMOaF6EyzcuPslXc9RQZRnbwwfaWhFwvsZPEPdJGvzZWWWUhBN3PMKkihyG29XzqUP18OM4E
6vXKyuacOTYSXJlSt6GBMMepMlPjlM15cbBxt2EZViBV8ol0A6eQHvNq42ZzTbt2nvF2pu4+54uu
/TFqqXmerK7+bVG0bgL0E80Hd8juDsI4ohfKBOYboBnTTR1VKao2jJlZ1PqasFDwt2Jobqf7Dr/n
F5La9P8Mba7+2oiN3BzKNiyHqHhT95ZyHhFx/N0bDrXmbmNNdpKMgAiL4SwIvl3vpDPmjHgVdhNa
i5aUzLdttGDWevNUaQq9GdMd3aexMPPQEeV6EI3sfkUpOyv7XBIDfG3bFqCJjThrUSOxnktD/Sdm
QghyTUPYdtlTGk8/7m/r7vd7ZW9zAsbR8da0xZ4dNePJdNOF8aHRETVz1wp1BQeyqEuNcBNAigqZ
pMrh4wnRVQhNtCMIPkN7ur+WPRcBxcAHAytFZ1f+ilcnwElX3SgaswmraowvdAu5qqBXfu6ovn2+
b2pvQa9NbW4pxhMw/NbGRcYyzqzAALkxBmVrRl/+gx1mc/7S+uYzbeqDmtU54JjGNixIzP8EYJnb
gTJFydGggL3nhNBDMpxka9rdPJXKOIusNLmi1LpdfjL7o6B2V7jUWezWCZVuMY6uq72PRURBlwm6
LkI/m+sq1uypEDouAZA9YX5DZ13MOp5f9F63Pt3fxJ3FSX1KYmLGj3GDbBbnpJEBX2TuwtpsBujS
qujfNiMKOSf6zMPPto6Gx3utcpQUUnbMi5EKMpsrZFTTgh4RuL2ynO0f1cL0Ct81lepoEthOiZJw
CsSejBlJhbbJuKOO3ETmXIVKPnqftMZOz52bti+m2kZvwRq4v+d9mz2Zs+2GwO68361FSR8dxkhc
TCmA3JgKB3nUNrmJDWMB3wrs0i6AdCajUj8tIk5SX4mc+eFs48rWVvKqiuzMqVONnZ0MJVi83CaO
HOpg7SA13vebHReVKRSdE4k6Bmx+fZ8wZb138qSvQ0aRDZfOGvpnPU6jr1HSZAer2rlPYHrINjb3
IyH55oI06nUs1myBXZjCU9OdqP40MwPy4W6D1Db9PyubxyWF2Oqk5Sjpkpl9mZ16/lYpwj04brtr
wRdpBYHahxx3vW3zytBrM2ctliMmv3Uj4zw6zXQQ3O95voWACDVymU7g/NdmzJJP0+g4HZMTvyyW
0v2m09yl95D4oz29abvpadLgMmu2EqxGNxw81DurxDxYJcJ8kOnbx6bry24ZUIkNlUKkvRRq8U5m
MTbtwTp3Li8iOsgWMqfQgA5dL3MamJPj9iDbwH8loeeu7bnoVdcHOW48R13xOMOJuSakMEiHsaeE
+xt7giIzOkYVuG0t/zFnnvpJXVbndP9o7e3eayubj6dG0Mg7O6rCRETNeZwaEQxl9+/jRmBQaVI5
GCzUFhsyFrNi1bFThXob6W8rVdhnnOFIw2tvKZIKBuUNoTDMXW9Yy3jArKi46jWQKC+iGJK31jjb
BwGHfDCu65/AuWh0yeSLYvJWsTRaVzuloAi2HqLEX3mWiW+aXnjfxRC33SeGIigdiuK5+0JkO3nh
/Y3c80E0+4F40bEg69z4RGQKx5qykhK2Z7xUaxQHTTW/1/XxW90TKdw3trefjKGBlIwlaGibS8qx
qgxoHqjUtMyblzK2zTdVr2VHWvY7lzvVa0Ir4gIqqdtmF8wp0SQCPrdWJcv3qVPMoFWL/JSoqfd4
jkTZSOqlUCWj6LEJBjxPjHmv4uz1Gpffof9ozyVc0/P9fdtbkBQPAu7Hqshcrv1QKa2izAoDPxx0
5W00dcwDKIXxnjFy8cGdtPeJKBnBSwVOJqVMrk21jUYZ0cCU2dblqWTS7GnNDyNEWcLYujxfB5YX
oRTSPpsSRxIxuT2JvAqSmTudZi8NhOH4zC3+YDvdP2TVjLyJ6XsxKfRxKAOFPlwAKTVN1o42e+nB
0NWShi/W9MjvdZrQvyuogR+c6d1tfGVls43xqiRr0bHAYrYyBmemZvpiZmV8UL3f3UfCQ2Ca8nra
TneqWiTarQaKf1I1E/ACdemkjHz8lCbj/NFUkuQ9E0D6N4UniBtNe3QPPHPn7pLlfKrr7KhBTfra
XQZ71JYkgcCF5p33ro617CxURf1t6Sb7XZWiGu86tRPyl73Yf/hQgEmhsA2d1SI23YT+ScrQyV4B
njp4TvdehzT2rdRm63sN9frxe4vbEQQzqHB6u1soW6dYbTsoKZhRz2YC8KjX79VMt7/eX9COz1xZ
2dwljLpMmKQCCHZtuvwlVtvYuthe0x3pGu/a4fLlvpJicb+GYL/Kpb0xFX3esppysgbfgPTR+fmS
LEe6/ju3FqkZI7VVPhFgr81Jaxq1dmcaPeE41OdiacyzO2V/NG39OGqINu8vcXEkEhiwsNk4TV81
nAFDaVJ5L0nffog0zzkIsPdWw3RYJDtgAkk49LWnu4QB6bhCWTVUjtLQjB/s1U5O5Zgtf9/3Axkg
bS5HOM3wp2URmORvcznWgll+da9hqRVBNMI2CoxaNc75OAxjUGhuxXRcFKWe75vdcwtqsxLHKIcX
bmvATAgbuUtSqf4w276rNfnJRGLg8ffFJqXkvpIkO1pZ19tYrF5eKg7odSsrs6A19OkpdQ4jgL21
UI4CT6uj+EMpYmNlBJtitEMZuugx+E471h8nI84PCmw7ty/lFGqj8OqZ8rRdy2AXTQOmAyteId4q
y6BaZxJO91ucj3UQJ637FQWqPLCSWCl9t820g83c8UkK24yYAGgGznZ7+yrdqpGRA2hfV7gG5QgH
DtmO+WVpGQD/sHdcmdrEibXlZUaWQACF++ec3M75YfCC/ycjYJR0njN5315/trE0m2KgW4SKctGC
Ze9/CDW2L/9hJQ5lKZBKjLTYBgCN1uvlxPjRsFITgEoTr4VGlH++b2Xv0zAYSMrRyrHx2yaOURqo
c2TsV1/EjGX20kEJhFUMb5miNn29b2vH2+W8AzrPcmDETZqSGq3ZTxrp8jC09BU9SS9T4+bzf7BC
Ex3JbgC8oDWuP06rLF0DGANnmxjY4mtmW4T5oq5/3Tezc6gA/pF9AwGEvLOlxaqDOTdZKoh1s2H5
uC6JPbZ+l08QVk0khnq/VJNxOXljz6jCPEnGFzFGUzofHK29PeUmpOvBcHWQ5ZsbpGGUcVJPURmu
c/zXkqXae1dLy4Pu0d5a6ZhyDcLYBC232dKyV8E3Gjxc3mgkPoKALiJt4nfLGn5LdOOtkYl3YkBd
LtfWA5TynnvyknHQWB+om82TOUGiFlpZcpwbyzmRjqnneKjBgLf5kXLY7iJ/Ab7puYCL3iwSgv/a
aDZ8rMga/m4LxHd7p3tyvOjb6qxPSjqjHGP8WZrFwamQS9g8o796EjQMyG8pRV/76zBGcZvnkM6i
qm/LoLXi9U+j1fvPbqd0zudkUDP7KYWk050pJizrweOwu8M8o6CgqbfciIohBqKkSe6VqOm7NlMM
DUUEqlaIswUCRffvH5qdLF5OE4exSG+L4GRzcTIoKm8dg1hYS1XrxIQ1o4NzJAw/NkntndyyjqrT
e+dDHg9ZOJDz6zdfdYlMfS0mXHeupVzDoljiVEaqMRysbNcOyRpqyvJB32qzQUEblUVxy1BoXsXA
EbEGLljFx2u0DhgwMiCybBTzN6sxx8ZgOYB96xT6nmI1zds4m4+UMPfWIs8cwTDvNanvtUeaa5/U
+oBL1IqaI2LbxKFr5s6n+76w53ivrchf8Sq8z+2eNrswkL/svezvukF8wvPi+HsRTerjeRFi65SP
oJFojJrcmLJKZWyo4/Jxxt47TW0Tn1YAu0/3F7S7bURx+DXZ7A2LW43coq4sto2Obv43Ql6Rb9eu
8c99K3tHiE4GTH/+UI3bfByqHglDfrkuAM58h2D5SRO9FxSdIvxsPkJC7IT46DVSCrNkUHWj2gEj
QHUL9CzCRfTvE7eJ3imlvfzGg2h/hikAyMM4Ggiw5xbUPdA+YeoAFfyNi5dT4yiIllchHa02QEbI
8ptEWwOJOD44s3uroyIBGo45RURYm7JpouWijRWdxyUdx8+p1lWFP+hWfO6jNfpjYOLcGTWRh08X
LgjdxyO1wDJ8n2u/XzMxJ5PTVxfH7ZsPRl46AbPYu/N9N7lxRqyQNaMVSf1SYmSvrVBS6lRmuJaX
0TXm4r3eTMP60bGj4mhq4M33wpBU/MeESXtgK/OjCDDgfVoUF0h0HTxVM2FgrFf7Wd4fvR47a5LQ
C8gQYGGJdjau36eKPmW2W1yyaPRc5kSo2VM3G/qjJ4wi6S+2OQrOyPBtCTF0k8C7t0l+wXWSN9Vk
RX8iHtoHscUgviDX7OZ0/1vdbiGVKSm2LbM97qGtH479bM1jm12sJOk+eYo6/YzaaXyG/eAdYLRv
kcQ0n4E1SXE1YlbS9mu/qKxlEEnWZRdthunLFMnpRTA2+4NY1PHPrjbcs6qM3osnpv6lYrbVpe6r
9GMMTOlg0bcfk6tSypijlMO33PYsRGn1kVWWLBoh7zcqStRPaZZpB1ZujrgUBofly1OCMDfTu6+X
izC6JYbGTS+dqitIhMzup8kTSxCn6/hXN6vLx3pa1Ydrt9IqfVSw4hQMbyYPuEiRUDtY0os6Lt3n
0VDnTx1V5o/33WZvB7HDjDMQ2Lf1FwWdT7ewzPTSIoYW5O0w+i1Fi4MdvHlvWIuMn5CS44DDsr/e
QdcuGy2erPTCPMXyY2ckTHiqvMQsgLy30z+WCUT0/rp+Db+6iogxKSUcEdxCCxNHvTaZlmJEAbfJ
Lquea+nvntLlwre1zjA+KFSO14u7NkYZGMj8rsHoCPfHbNpddKKfokZntcm74UWn76+EBp/YDLpy
GHN/jcRc+CO3oj5SsM/q8oM6uhljJyZ9qZTPkekN0XuN4ZfTS4E4n/1GG3IlPWdRKrrn+0u8PfFE
cLRI5H5SCtzeZKTj3aoaiRIqNmMhA9Rl8h9eW8VAbp2s//O+sZsEQ8Y9HDCZCzOha5viJ5PRxKQ2
GUokTfPkrEPzslZu98Gte/HWLCL17wUgGDVjT4T3Ld96qAX0hAHVGAeXvcUD2pPG0D9bTS+aUrhn
u68AgDDl+9FnnEYJTypSGuykpLNeu4uVu62t9TZnPPbW4YUkUc+fYDf1rQ+4n4lT4CrG/NLaBUi6
BxdIzkRbgzPI+ZNn/tp0acT825ESXzzFjlQ/F4p+KtAuPkIa3PgLIvlgbGUEBr0b5tq1nXRWUtvq
1vRiiNz9SLmIaWdD6upPgxjAEN1f1M2J/6XID72fV4Ki4dY5W6nm1xhjelFm7SdjQ6F1Ldr7yVM+
rEp34Jt7C2NsOLkMAYSBteuFdd461kptJ5daj7rzUET2hau5fYlAPx6E5zdPAaVPSYKSopH0r7ew
xqhGNpyREVxkS6Zl7/optaxPU667PypHJEnQjUq8+tXglAe91501Ur+Ae0VqCGB4axjEsl7OTN28
iF5ogd1xT4vBzYPZnY+kKG4OHGuUU2j4buD3IXpstnOeEloPHAU3Q/qOKVKdH2lTdOD1ewvC78ng
afPKCti1FdTmTBcp9+wCNzU5F7HCWgw1O695fYTWv10QmwZPndyNwI9G7LWpSVnX2lvM+NKUsziv
i6t9KrzuCOJ4uyCifwfoBNcUdcltB6i023jt3EQPiyHP/ypc8nbPaLKvcUfH9/7huvVCTCGdIOU6
aCn/omW+ynor4rxGRUidp8n6Unbxm2ZMP1WV9r1dqvd91zx8vkwJ6JK3P9fjDfNPTanuwmrQwiYZ
3Es0Mq8qs/TmTYH47MG1sbOJOATAHAIF3NyWn/LVyjqAfwnwfy1UK+cLQ3bWZ7Dmua8pQ3LwrOxY
gm9AW0ZmAVyLG6cYYWbBS9a0sFhKgwnjzRjYja2GTDk4GshwexeScOCBaOnyyaCCXS+q6pZisl3E
a+tYDMEICUYr8p9uppw6ugAHvrHj7Fy3kt5ATKzByr82ZhuxrvYAysJedYwPaiqyt4PKwOj7Hrhr
hQQdyq+cXrgFQmvgaBs4PVo49PbyPkUj56wm2VGWu/uNQEATOkpVmi3gBG1ohorDLwq9Cv6QD2eX
Ul/rRenPtrX7o87qvjUpiAbEivdks3OJG0P+ahwNpcXJCbRJ655WZg49Fc3jWnKkoMRsBDYI21Ip
3rh5b5iVkgJLCd2ks17Stsou1dI9rG4srcjECMFUOfN2U/fuU8/Nvcxi+4Q2PfeVOT5Fa9sdZBC3
lxFuBj4YUitgAbLPa4dLonZ24yTXYSdJkUO1VMv+aXWs8q0ezZXmixLWmR8xpHk5cPXbD2bJyaqU
2SmGod+8WR8aSEqadSYihlnsvZSINPjD7LlvkrV5WPyPNwrIicRxgf7ggbxepDLPkTOaM7zgjv6+
5g5WoLnL0czr21Ml4S04BBweiklblAeQT5U6treEZVxMvpMOjV+Uy5Eq+54V2iDyU+lMBN1aaZJy
RSE9WaHxJFNAgq+fmsE9qh3dJAwQwIFbIPiqyRFRW7yn0iiu1xfzDFXCNF7cqLL/NUemOFRunf7Z
rat76hOv+lbUwxEH4NYtuDHgqQM1JV4iP7r+VipDvRID3kvYx3N3KUW8EpY57blssocRQfJy4q3i
hkInhAzp2lQRdc6UQIUPexdKLNxcy/XpjxfPS9+3ATMsnCf5Y8pgmDPt26NXMAg5onSCUf7jz7Vt
U69XtN9SmwdMi/5O4U0xAGxo/37YCoU5oidMSeDm5qZy1MwRUTVaSE4lNopkbim+DlljHrU+dj4a
4CaAVbK0BFptE8MXXpklbRkbYdUn6hn2qzh1y1KeUrA954eWxOso0XggreXtIV+W641TxnqJVTNB
J9FJotVfDBHHQaUuR0XozTn7XzuMDGTAiDwL2xpt3nH11oCpno3FVQItScxzAovi4BLcXL//a8WD
80KZkVGINxIy9brOSYaVrsrGn/C6HMYjRbHoTmqpL/+K0s2N53RxrfLA8O7yXhneXIkxzwuYILt5
blBz+1xQCvky0EQ+yMv3rDB8kcXJKaOwe68/Vj3Avp4Zw/RcOSRz1VB6l6RTlh+Pu8RrK5u1KA7z
dfqybJ8tc1zfJbXrfcyQ0DgaELYJBH99KzBi1FAAcHFBbczoU1SvA5PNn7NEvLWH6XPFygJrHFd/
btD7e3xRvIy0oYlwgcxsrLlxEa3ZUA7PMB7N+QQerWEA3rKqR4TaPRckuuUmxBZVjM3ZBb81GE6d
D4ic9gCpKgXdCNp+9bz8loytqN6pURI3Z2Zcmcvl/hp3dtQCwgWogPYL8KfNBVybIjepwo3P/QA8
KRAq0JAnZ/4fzs5sR25j6dZPRIDzcMuautitwbIkW74h7H/bnOchST79+bK9gaMiC0XUBgTBgKGO
zmRkZgwr1iqgV2770LD+yopcgPB6bPXOgnFGZiZgF6INvWbyr2ytWSyelGueRqmfWXZ4cYgQEp9I
Ea03rUlfXcXsnpRflu4DBAuxYnq3UhJhlZgvUxtlIl8wqysCFa3KS16LeNG/PF7dnSNHoQ3vpL3E
J1VXZjzE9DIvidurFXbh4C8dMcm3OJmjPS6Uu4YAkVLAh7KacsPt2Yb4qTTHxOZsj07iTxHUeMo4
PSm7IHeNVhntJW59bklD/hY/p5RzjZYPRJpXQ6/eJsUZXixtCS+P92wV7WCE8Xx5g3AKKNevT3Y2
OHrYzF1znaw+e3Xq7q+haag3I3/26ub6Un8Oo9CKj3mpV3vc+tszACiPBJ3KBjMivNO3C6w8veup
OtXXtBbdl7rO0VpTNDFD+ec46BNYUVc92fV8X6/Ea0rIB9HdOk+37EJ1hMF6zYpA5NBQzP9SF4y+
nOpczFfTGfsjvc/+r8fbfG+paFwSIgNmY3h5Fdq1Sp8wUqK3V43GdXtRpxnkaGEShkH4kCe6P5SV
Oe+ch+1pB9BCisPzI0su67UyOKq5Edzf1zmd2o+1NwzaLyXEBPkHxYPfymdKTEle6mrx2t8eL3d7
QGTJFqyjdF8qV6sDAh7FnrqxqK5RHxavIYpUdDDqJyel5LdkcBXMEG1sso+1hDfjga09C1Fdh2bK
LoreNJ9F3+y16u58Ojkey/OAUCn3y+rTgTN2yzTPq6sKX9irXZTePygDjkfSyhIdNK14Uhn132UB
b1CpxZHOryumrpmDy9f16tpGIoMbbUBPN0Fx+PEnWsWt/7VCpkNNlqO3zkEZTLHMPoNOvLLn6lBF
9uDrIZA9owr3ykh3vYFxFYkw55ZZ38utGmoGgzHsoLCGszuI8mrk017UcHdBtGqYMwZRvPF2HtRY
AzxRXcOUeChK2uU4mqP4ItqkOz/eu7suwfeRY+6U4talqia1nI6RmOqqx2IRfhG2+hkBYYgXtNly
3rSw1p+rov/7tahqU8iEeBGs/u1VqUcVcSpiTNfJyJw/LEi4/Up1ki+F5+wpdt37WtyP+AUjdTxw
q6AIlQeEq9QZx9C18QTTlX2MAXT5j7fw3tdiGoARfqIvqYBwu6BODotMZlRfmf4dvqV5a38ZI68L
okbdmz6/ZwpcPAeKowqEc1UeG5XebtocUzEp9yHqsuE096V1nIcy3onq7u3dz6bk///pySY3Wxpa
ftXVM9KmOlLpttNjTSC485zcswMChCPFC0oxZPWNtFJbtEmLqqtdGNM5iy370pqwvT7/jUBLADWi
pyKLmberqRqAzE2TojhQ1nX4xkxxaR40BhzCV1Giavg/uASEgxJJg5M777SVP21eqoreLZ0Fx5uH
+mhGXvyS6k3hz3qW7xzge/tHjPjv9KHsLd6ujMkNyDw67nR2bTlWRrH4bd03x6f3T3ZFeQZlWQeu
5lsrfdV72Gk4tL0iLFRMhv475L36+IGKjhbtWLvz2gNBIsCmdgqXzlqzME2tqNRLj7s1dNSXtIB+
M9Jnf45cP0Mq/pCZUbbj7pt7kIYs09cSRCanHteVnERhYgJiuPLqFIr62U4/1vWhVpf+KCBKPz3e
zLu2aE/xjtCoopR5u5mjqddK6+Ly7hITNSn50Nbnqmz5al2UGp9bxRE7l+7GS0giSAwJT2kXSLzC
rck6t2IzpIFzVedk/pBTGT7kiH788nhhm+uJQEG2c2gnUgjBzq0VJZzM3O1zrFRWdNDb3vxYVXP5
knrNvHNt3DMlR9mZqwJjwnTFralEVGrpljDXT1NU+RS/23Mtr/Y+TaLnoOvvVJESFIBIEeeZN/LW
lFqOeolYbHRtitx6CRXV+6gPTv7W9rb6bLApC/i8+rKnQ9t3vYFGrcaVM1vRNUodxFyV5nuZzXta
iBv3k0oehLJA8UG3Uru7XU9e5qGTdKPzolvLx0LTgiQUro90yddRCZ/sD3Cn0xyiQUWujOoLnZBb
YyF4j9JAxeOaEt6f7D6Mc98N0/DY8M+enBl6N0ZJQMbQ/+KObo2ZWh9JbZnymlqpfizjxfMXo9wD
Sr4X53+CNUkzvFckswABZPl39ZgwxywqD3zr1dX7cPTzcujqQzwkhfmSW25XBT38JdMrAN/82Na8
bn4pkvhjE2u9tYMj33xLmexyYSGeDFaYy+t2xdYi9Whcl+2dSw8h7NBTX8D9WT/ctJ0+dBDHzDtP
29YilzJVWxkxSibT1UtQq07Yl02fX5Pebn/vHC18Y/63yAJ3yJziCHwm0XZMbi4vyIqY65TlRw+6
uPU0rNf3rtXWZn5tmaD2i6TQDu5k7g0Kbm4U6JOZQQfNBd4WpNPKU+MOJ55Ca7yKmW4MkcrgQ8rR
HqrF2qMkfn9Nbj2InB1eKbIwmRatV+TmnIaoa/prPETTB1Ob0fFp4i7Copq+eTkCgK5mDb6Bmuil
1svyjbzN+VNEluMnoZk8OVyBR1NLg0EboivwlZsJXYY5AJA2RXsty779AY5Q91uvz3acdfsdyaEB
Z7yHEToAqFtnVTstXCYv6q7DaA7xabINBfEn6AyeDfZkGk1uJglt6b+vQ8olTBBGjbv+6ipa/6mo
rPw8G132A9Fc/fj4xdsuiRYe+CqqgSyMbvLtkhgLELlQxvJapZAl+/aiWF86XZ2+Pjaz9U0iV/AE
tJAdRFTWwOI5bwwCvQUzvW0eiGDgqB/IcJMFcuDHpjbnm9IAK5GEzOCLSdxvVzQvbsMcZLVcm0g0
flyPkZ+lRnakWdmiOV/9eGxuszLQYqB5effonIBUW8VCndkA4vKM4Zot6Brnda/BcAntDo/7HoT4
jikCPEY65K0NIfjK/ZohUt3ZmsdrNUTz0WGlH4dCa16rOny6aCTR0PSPqcSTBpDs3m5i3JU2ZHip
fh0KGAmgd6uZwrKLncBE/sI3twh9LQah6KHZIBc30IzFrr260XKdbLCPzrEIHcRQs+TP0UR6zCpr
/a1ouFF3Tpf8IhurFOJoKktapnVuY0yGp8zepF/V0QhPbdy2p6V3k7PX5OKjtvTjq1OaxcfWzsP/
wOuxV7DYnDgKPCDjJDs5HT113e41qzpl6MKbr0prq0cI/SdIBrunEziskH/AKwsOCp9Z5fQgMt08
0zgFXTmVx3m0/7G6Rj8KW9urya3XQ3hEoihp8KEklyDbW1cJGezPs6lTAyZzlE+Ccx7UhrnXwlu7
yrsVKovQCklmofWDMxHWFl7iLkGourWEt35tTfGLDrzB72PrD1DM58fnen2NSINE5xRrCZp5T1eH
DUmGdHag3g/ywp78yInt4zzFjm8a+feujH99bO3OJsqhC538DQWvDeVg21i17WTNFAyM9h/NVgkP
fdI3O1ej/BQ/ez7hDvQ+NOIp0HIZr/vjioyogd+JIMrK6j9WpZnHalrGy9SE+UvYdMbveZqW577a
DdnvWUZAi0qSbHHg/bdO0hthU1hOKgJTS5vj1C3dUW+67sivM5/dwqk+dxN8NmHTet8e7+z60pRr
Ji6icQNXlBwsv7Xc5lO9GEKMQdaX6gkovnJAuEH1y3B59n5GU4u2GpJXvF+kq+vIckqAoehD2QdD
vdhfoTpg8rvR4q+1M+1N+L3/rNtPScmJArik4JcJ5OqC9vpcjZNRG4LJsFMVPdSliINU6ezxG49j
nhxjUxTpV1e0UfQyj0a8+N1UpO5HbfRi7eCpoIQCgqpIOc25OkVHy0SjaOem3e69QZVZItR4tLYj
PsI0hdCnaQiYowL3gXRg/WlM3ersDfkeVOieLfJCYBI4MX3c1YZYY5WkHYq4QVLY1WGglPYmChFz
lurp22OX2h5WHBlIOnLyvP0bCs0sirWSiXNcKqu7Xz2317/NefqkThvtIuCryIvAziIHUNagBTUs
qs6N7C4YBy88JLmdHyLb7Hc+0SYXfDcDwomkDyvUZW/Ph17qIQBj5GMW06j+VNEz/WeKoNDs+7Q/
ZbU9v8YogpzpR6unpnfjqxUL9+Xxht75doy5vTMF0Rpjuv/2dyhCa5lSV+2CLFXLj1ZYpx9avZ8o
ZRXTDoHAHVMENIRrzCNyta/rSIldpLVbzV6Qj0sW6ClQmsZShovdP41tYUYC15csExR52GDpRj/V
UPWl6LsxLNxAzWvNj9ouPUdRHe68U+toRlrheeeGkw1qLrmVFccEGEQYH8TOEJ3RaXaBJKXVC6Ta
4bnrxuybScATeEWRnOvZzi6PP932YqekymCbzAXJ09d9zaUoR6TvQidowAN+mAf7rSHivpLbLGei
hea8jJr2yWDO4fjY8PZ95uPJ8V5JM8Vw7spn9LDvLGtJ3cB08t/jBo50OGwzyC3z2e8idS/+2J55
Djv08txisv2/fjoh+Gkzsk8nUJIMCs9oEEHHg3N6vKh3rbvba53qAF4jmfEoGayrgtT2G4A8ih7o
Bup0oA1jawyIU9Xh6IBi5uL2pvjvzjYqDerjxq0+lW5vtNeiaKsElCQvDy3zXtc+ZUXrJFcQ6uFv
Imls3Z/daVBeurYKPyx5BRe0z5SEFfk5uIDIZ+Cl2yO63voGqGFiGWjYearIaW9dk4rkTBZkaQEd
H6ZM5rBXDQS7plx80qi4iHOpdBYAg0ah5OTac63tzJhufYQcneYF/olKDznu7S8gwqWH7jrSg1xD
ptpHgrV3v0WlO//mTo6zHGL2Zdi5YDaOgi2pC8UkmC3RnKv7VCEwYKq1T4N2yadL5sXJuQME8fLY
Ue5ZIbuVmEpS3A1h42yGlUUHKAvMWonDqxk2Q32AKmHOd96HO4aYCGa2BudnOWsELgNgvZYtIgty
t2Z6Ti37UxO18denlyOJfwBB4S1yyv/2Q7VJ2ytTnOQBuAxGYq25OaQJPIePrWzufmp+DCNRMubH
gDuRa/3pQq7bxDInESZBJWBkstNa/1Dp0GMYev6klCExiDRFYUziuxhMWjW1ujxDhdxO0wA00XJU
mik8IELjPFlXfLcicR3gLSgsrmncurKNK7o0SYCxhtREy6vmkE1xtXf7bbIvlsMLLRG8VDn4Trc7
V7pjXnpFmQSjaN1f+mwxT3naWJfJVKMPwlGaC61R7cnqgFwdbWmgXZLsl4Tl1igV8GZKEX0LYjRe
/2SMY/4zd8f4LXbG9NfGsMXn1IZs87GPSB+4uYBJv2T1iI8mIR/rIqpqjbOpZWYaFLpSnMMmUUH1
cns+b4XxPwYAQQCCQTJul+YtLkVZM8kCJ02MkxnBdRlq5h649o6/4+eEkeC76eOun8g4jrNhLpws
aHQh0gsSYeZyNrIujg6FV+zC1+6Zo7pHbR1BG96u1fFyoANxDUXUQdNGYSAmnny30+IzYKNy55Ld
vCyUeblk+UpAYEnOV5dsNY911zd1E4SeIeqjBxAj/8RAhF0cwC7rSNUmXq0Tbi3DeImMGgLAxx9w
u1aERQCuUbOSUd66wTvWujW4zMEExmgtR3b6PypP9yEel70zvj16WGJD38kn6VysrsYoakv4C/sm
gFwl/FAriokYu+P8QixuHLPJ8l4sZ0meo26UKRRcGrzbjFbCBrEukcUjSGYr6SsSt2W6MPDYHZoJ
LODYZOXOgbuzkyCHYThmgpOOmbk65WGmhp4W2lXQaIiHU2PRl/QgdNF1J61XQ2UnXr2znXRcCZUZ
jOLcrZ0UhADqdR7xhm3E4qyF/fwGwGb+7DD1+Nlecu0zmk97emebGJ2MlNtMKhMQqNMAuj3uSOeO
WRl2aeCQEnyErc04OeNUXRmx0yK/rOMh/XUpGi/6WOeK1V36onB2tnl7r5FEojnCzLZsZK5/hZmR
d0OMrnKFMy1BvNxxfR6Pvc7iHSs8eVzVntS7p1h3u9Bm1mm6JG14XZoo/sx03XfmWNNfH5+9e0Zk
50nWwnlk1ZWRTF96q7Hy8FomRX4u57w/GBnkrI+tbP3SYBICiKhEHJDYrL5ZxpUS62YZBbMGp8UC
a2VQFUx1xpayx220NcWlSdlIpvskjGvou8dUTGkZogoKRsKmg41uEUTOlmIl8PEIaLgfr2zrjaQw
uD5yUjC1g4e5/UhK3oyz3bp5UGe5fixywwjybAFaH03ThwThuLPmxM6x7iJxEpF4kpqbg0C2yhPB
9DcXMpWUW/NFLt9dZVgC9LJy5ViZBrARk2rH6CM8Me+R6W29BXMUa5iPlJKV6/w4Z7496Z1qCYp8
Nl/i2nOPSI8kp8d7uv2EjADRBgIqSk2IIPZ2UT0xg8jneAmi0KZf0hpO53t9QR8ohONrr/p31xpi
2XIHqXltivv9hOK34syBpjbdxbJHVH4avLRDo+n744Vtt483Dn0zBJDBxdCpv12Yl5QCIv1ppAxu
NBF18DRlPsgEEf7YznZJ8i01PcJmnht4olZ2SjB6ZGpjYISj6iOiWL3k8BOc+0HdU5W6tyRSNDLT
9/r+monH69B4WsCPBI4yFC+qVw7nSIH09vGC5MbcBpLy55MAmlLFZPOu1ZMyGUyvaIGjAqaHOcwo
EemKUeaG21xM45lgXX1y+pizJUHRxMogO0im1h1Cp4y1KXRrLchAahxTxLIPUZs4h8HLntQ2fzdF
T5cSBeUXwKkrj2+LYlGXItECY6KPO495cY6R5d45V9tvJe9DQtf3NQExv3ULS69nuIANNRiplJ7a
SIPTq5735NTuWgGCiPKpDObWxZ040aDqiVw1cLJwOM+NtfhG3+5xMW2LO3KrJMeOxGnQd1wtZl4W
OGDGSQ0Wp42mM/5tJv9MeaGXr+Wk98bFoSJjfu6VeWwObWvBkTMqUP6cuHpi8SlXhyZ+qct6cF+i
zAKXGVthrCi+WjSdxdxmkbvftbnMipMK7Tr/YCzRKkm7mMjU6mpvT7Xq3rbJsWkNKS74lNekOumk
ty2h4UzJPZ2+68zZv0p8/t5J2l4NTBBRfQOIxaNB9fbWByKC1LyfhzlwQqU8q6Un20aZezCi5kmS
V5xaDisRuACCZkh7nf3xWcIEMU4uVrMCS14Lhs9gnfKNpu0+P74f7mwedWh8TbZxwPOuLlaz1hOn
6NI5UAkCD/Pc6L4zutHxsZU7ewdagHoieq3M763PT5LPEVwv8xT0Vdu8zC2EJUldxIdq7vcEHLam
YAlg/+guEjltqLUtU/GGKg2bgKtB/5jnqvZH6k3GK7M2yg4O554pSs3ELzDo3AmY5mTynMlog46w
/QU1lurQjxas1LW7AwjdpgvQvTD9iC3aPYQQt76H9EWsp0PbBLoOtMrPokKxfaUdlcYHhVgV53HS
4uoM5Dj1nn4RpeInuRGNRLDla07Iqq9ca+DIB001a1fwif2pUzTnXCS0gx57yfatQmMUvJGsRDCq
t54JjBBjM+PaboO2VIqXzsm9l14ry0MxFONhHFR7J33f+j59Jt57oj+qsnRNb3eVSq8lhsosglh4
xRXst3mKlPHr40VtnQQjfDN6i7RKeYVvjYisKMymXIqgnNX4hxcJ5zgzqXKlniBOz5siIZGte+gn
NwBb8M+JSm5VBDSthkOcN5aft2F0LKs4/h9MgfFm2pEslorfalWZ5JEToSiCwbb+NpZWf2GqLDpG
dW/uJEBbpyAYA+RNK5ve+YZ8y5v1KkePuAkEndC/CscsqwAJj2E+q1qXxnQoqBTuXFf3bOLw5I4S
cQHC9/abAXwz6xRNhSBa4uErTGvdMS2M5ByldfIHaszejr07PiIzA9ye/gAkNKsybWRVqrooZR1M
npkrfqHXzuKbjdpkZF5q/c9jN7mzOjjaKRvxh574OsYdJ0G3nOZAQJYPy7Wp537jat/DSblOy1Sf
H1u7szbQ+fL2YmFbHJydCLM2IDWjT4VU1rkeSq09IRfQRi/AMPs9vdE7ZxoIIe04smUqDevGqjt0
i1fnCdgSN5++qhEprKjb8tfHi7qzhTTEITd516/cpCNiNqFp6cOBbmflnTU7iQmCauvSg2G+ZuiP
Pv1KA8aRpFVgMVELWHdzzDKhOjREYwC4wPUjw5oDq466nffszt5JilzgUwxuAF9cub0jysrQGdIM
pnQEB1d43TWlWfXyeO+2bxmjBvx0LigZR60xOCmNAj1RsjFQQLF+V5d5PJpLZl/60KmOiLl3H5TZ
0J696vEJOdLMNnKFwCl1e6JLNUntBHrHQLSa8WuiG/HntnF+PF7ZZv8wwui3FGUjDuV73RqJZjfp
y1gZg2gGmzCnaXEos3iPHPeeFfJg4l0qCUSJqyZIoRuzpxCbB25W5ce+MEff9Ja9Etrm2MpDBE8a
vXx4JGm53a4FNh1nqGAVo2M/O5/QDUUGwGnST6Isoue/DfUQEMaUQ+XrvzKVxsrQFFkrAkUonR6o
XtFPxxhdo2fHGrh+yHco7/L9Kcasy4K9qQi+fCkCjpn5q6OMjW+gsvvtaS94H90hWiJXoBRzu3NM
NCBx3+Jq1hTNPQXrYbj2tm0lO5n9xg+kxiZtV3DMtMKgPr+1Mwzh2POUTEGCbx9JHqe3Iq7bZ69v
rHDLvaOYabu6q9Uwy+yNdPbVQJvz5LCILvar0ctPdb9LbbhxOWmKQ0rQDqafA3S7oDQyhnnWcjWw
oQ8r/MINR4JcPhABb0wR5vT4O23qjxazNLSj+JvwlrrnrblpQf3aSlgZKMf0rHaD8scoBvNrXyTx
OSYoAdapTUfDCP9uocK9PrZ+Z7HEF9TBpWIfyaT8uj83gSelnMClqEESa+arXTkewmFlckiMpNl5
PDYXLgu16F5KcgqwXOvJ+9S20sFhOiBQqQwe5nL4JFzzpOiZODlO8bYU1R5F8tY15bAhB1rO8QJN
W6XKiVEVxgwaImjbYWp8W9H+jzE971lwsZQP9YCkGZLzkEHHtW/ORppyDNRAMWqQhqPDya7U8aTV
TrfzaG0/F9RUclAHsJZsYa4SsBSmhAxVZy1QyzL8W/STOJW1Ux2MelB3+s13TJEkS0Zydk9iBG49
wyvHRSncNgzCqUoaP1En66QysO6HkTc/S8PCFsqMnEaMRMdQs7s1hpgj17+XhiTmSvKPXRpFYOjN
kzJ8dH957znTQJfAiVFXvbXS5gw0FmHmBFkiytNQ65J8uq12MoWtnzMmAKBCYvjw8rV6uQvqNA7V
zA6UJqnOWRJlvW+LzD0xUZJcw0FMBwoGT5dx0RKgQc8sBOEm/73y9TKK+oxnxwmM2hA+3lNdFLOe
d9a2CTh5R+gCSQPUVNnQ2x0cTQ28dKgbgdEY+sk2mviXNKZ3EhmK8+ZGRvXsmywr7YC0JRiSZGFN
ZxPLPiRRQfdqNAiXMztZQUoS5r89eQnyPkqkMqh53hgGuG5XFYalUFDZxEoWhX/0s1n6XtGKt2lY
xM4G3l5JnCeuPhBK5FiSbXYDnKPdGMKnpA3n2p0KzICkM/xJE8reVOjt8f3XECH0u66hnMlZfSlR
hmQHixjPraeV52gawQKMTfKGYNFeM/W+KbIQWhUSrb86vEaUxvQy5vEseuM0GUb3qdL68cuw7AGo
720eLyQIbwmjpjVy+52ijhmPrHNZU08VX3hp7xezsUdyIt/3/9+q+HfnSA2YwyQW5FleLSdGygfZ
Jax0vRm9RpNpnZXE6A6AwuxDDuzgF7tSptdeHXayudtI4N0w+TAPFe4BPHDthg3aQamOBsk50gzl
AqI6JjDsa/Wi2lN7TNNGfQEzqJ0RoPWOdm7uiRjd+Y4yAJYdNB60TXehQdgzXRbs96VS+qrIskOX
lHNQlHW6E3asAPv/XStdV1qfsmm95lGtFbM1krwW57mEoSQMde+ilO14McyoO9rwxfuDtsyvUmNc
ilU6p0RDQWF2e8e3tKl6GQqoU8olc74+vgruuBgzoxQYZZ9b5oW3LhZnLeMRY8oe9KV2WiK38sex
DI+Prby3UFY+hhlKH5R2ILdaf2otzuzMLQdxNlvQQCWwj48ms+LIdHfhMRNG5kd5Z18mq+sPSofC
WOTp6Sl12v7L49/k9kL/9ztwO1DRAtoi0RC3650ype+iohRnJ4xtP/dc5bVhUgqMXtifx1p5bn78
X3s2hO7kCrDb2muMXgTPYCYoWJ/tJAWpFNGIG7SqpiVX7tEybN1ZjpYR/FGCdwFhrM5xtywaRPkG
S7PE8snIM+9bUeXZKYXca9hJgu7botHIrAuV8XUTFVLKOY0nV5xTsyHX6mB88EFhoALm9OO3x59s
NW0s95CFSS1hqE+pxK97JYImsBblTArZ3RLWr/nYRsPHmXFccY5jpzd+mzPX/qwuoZf4lgBqbJWa
1RwixVvqgxFH0KX5elYRp+zswvbwACYjMICA3uW1XiM3TBAhtTE74hxaefaLmyNWF3vec9wX/y4f
BBj4AjCJNOFX3zU3C6XtPawsZTEEhl3qfq16/c4RvbsWigDyFQDWu+YjzJxotAHUT+dl9v6B5jk/
eOaU7kQD70je23uANxOKAzmXKOekVsev5U2pFa2Zz55IhxrGyjBuDia8Z70/GZ2nHKC9Y96u6oRb
n0w1zIpLXhtRewnhFOtetXnWi+Ogxpn5mVi0mQ8ZMtPttbMpwfuzNnZ7taU7jg61j5wyeB/OW4eZ
47LocVvD7FNM7m/zAu+6GYsfwDb3lDXu7D9BCzRtDDcSAq77FYYAJ2C64UToUil+XXTZoQinPSvb
608qSlHyhpiGWak1clJozWR3WTufhTwn7QLETy1ejQgOW6s3dvD3MjxZfWzCP+CZBLQS6roqLESI
TdQzI0TnQsmLgzO4eul3rrGcLGtOXzMEzs5ZNyY/Hl8X73n1rVnyKvIRqCNoXTBdfHvFj6mX9QNd
/HPTV+E/IcPF3cU00zH1K6/RvB88PuI7hDm581olYoh86Ikz7ex1WuKdEjsy/6MAQzcPQz6XUrsi
N8KPaeu4KYpUZteftG6xI1+TSsJ/u4O+vNFgyr/3S5P1gVmlEXzRVonWRaMW7qteoLju161iVJck
1O3vSxoqnT8JEeufirpeOtr7C1MCUoaoftGH2Ua1MayFHQxTPUfayZiy4m8V+rTwEhZGXXM6rGRu
d07m1v1cEGGUKt4bqgRUt5uW6stoMxJpMLWzlC8xcMQDyfBz8Gp5lZEIMCmE3A1Jr73u5cdmlk6O
PjtnrVCzjxWzQ0Gl1nvTEduAlqCZoSudrh+QIlOu9acaT9+0Wu70jnOulLr4bBaTchZKNH+MEW0/
tu0Y/wiZ4jmazMvsVO3uWGamnTIk2bbMq1aVkQqSi8odbfdsauOLPZmJP9fGXwiMXSHs+jiFdu2H
4ZMVSWhWmXCRQHKpykNtf60NoZWuPpV2a51F3urHRUzzOWk0deexW9+EWJEDj3J8jvodA/u3uxpx
dUX0Oa2z1lIOUaLE/asfCo+GtBU/lQW/Lwi1ENvEmvzLXuU9c91W6Uj95axmSGpAUDj+Pqfu8sfj
i2J9F7Igij2U2AlhYJ5Zx0vRgOirnEE4p11r2YdhWdqvYSUy4Tfd5P3pWrW6R+d9Zw+l9A8kItRK
KGqtriaRM+0527lNwABZ4ZC06VlwzZwAuOxBp+6ZYlyN4VEKu6DBVvWR0S5bzZkxNTrG4KeLPh5S
lUmvOF32EKX3NlK6HpSIckB/HVOjEwx6Z+ntczxN+cGNMv2PqO4QUrCn8LNYKufw9IejB84NIiVh
qcrI3+en872UuVVrEguRmSI6RA1E8raWzRfoXLujQbb4P9gj8KIpTVhNEXJlT2eWIQ+Bjp2bNHHe
sFKe52KpL7YzzKdCU8qvj9d359ORjkPLIolFJHj1dn1mahOyS3vkreVvVZNDTa2V84/WRYrusalN
XsohkCwfkgkXVDBq6Le2NCg5x77Jw7Mzje3vKCqFVQnn71D0vw9unbtfetNtLSivwkp/ibUOMqia
+VlxtbRofq14MkZ45vJYPeplaraybtpWO7/k+m2iDkaGig/RGPOoAq/uc5PCUd2YinNOrCU/msPc
HwvR/f14J+4ZoT3F4AMBEmnU6gGEU48WGYSbZzNFN4AJScWf7X6v1iJ/ys+xiVyKrLXQcJEF07WV
OarzFL5X75zPoruKvEMvMR7U02QN4+e5CqOruTjqyRn06Fdn1LrTs4vkTaQ29a6MJPHtt187S+t6
zIc0uqSCHDSLDO1s19lfj43c8Sm8U768ND+4f9bvb73kblV5U3RJUKIm1mEIiTlTup3JsR0W708t
bFXzMore076E5qKGKemw1c9HhsDhnY4qV6EeIVKvf5saffjbGQzxnECZfGIQVJAYanCYjIKs7yyk
xsN0MKP40k3CvhhpYV2Gtqifoi38rxV2ghE2ziplydv9bkKzMpIljy9xnzQHtctjSuFx9fRXZS2M
zxBxMKxJefjWCg382ZmrKr4YbmX49pSWB0HdcOcW3B4QEMWE85IsCj6zNbi4AOBeQwUTXwoK4vzV
uIfJ6MudLszGCrUSJnNsRg35Lhv6pnHywsisWqxoXnLqwP8eUrR/nl0LPxk8KeLOYMRkG+t2x1wj
jOs0VeKLktshzG+e8kfTz9Wfjw/CSj+Uz/9uhlYZlXayLnX1cCyKYU9Dh5CBOhb2P4s3Wcs33Ylr
yyfgiD43oZe3gTIqi/qW1qb7tzpnnS2IRJCd9vM+Ecmxn0BS/jVWiCGeI0/Lfq1TkzG3sXDGD1E0
LX1gxKVI/cVarPgygsFODnOdRp2vGiVMdqoaDb907sAU9OPFbR4p1gYbmpzZZbx7Q7wsK5N2SMrE
2hoIAk2zes3KdAmUKtsbl7xnipa7FCRGqxqY3e3XUrMUSTfGYS5WbqOPUCBplNBG8VMv2ZtDWKes
km0NuQL59Eren/VTU6aOLUTnMUvfFC+9VKuxRusvruMvc2l/HhCDeHoX32uvknQfeah1QqTAqVi7
ZpderNRu/AVtbEgPQwSAaNueH5u6c7IIOCXwh9iTKHS1i6kHx2iaNemlzvT84qmtOFqZ8Zwew7vL
y6iTPgICkJI46fZbtaZJRqz36UVhjPYAL3x5dLQu3HG+u2sh36GMwUwbtbdbK8bUz6OSUp5KyP5O
QmjikNrwqD7esXU2hzPI1gSRGBkrZbFVbGRBKdgkiZZeRodrqDFL87XNC43RHlPpel+3uvHvWbPy
qwn9/Y/Htu+tELtUnqjVQLC4ujqqQkSZ02Kb7Kc5ekKfjwos0E8hz/79WmRAJCRkdhiTO/BTJF01
ompUxUFpBeLqYxUzG7gsqE79D2uRzJSgbWgyrNO5PDeiZSzU9JIVlnpwFoeZhUX1nn0FiWJpIzEI
QrGYIGt1p2ft0I9anGcXfVHiF68YyMC7/Nvjpchtv4nfGOmhmc4fcPs0EFZGRGIa87g0+aVvBjhg
F6oxvWEVsw8qKDk7dav957HB7d1HVQZqZ/Ti6J3Qrbr9Qk4xhgyEUDyy4n78tAyzcayVtPmPneU7
V9FmaQRBFEwA0dFqBLElPfInXxCwCwm11bOLNimd+mqKQUv9MoJ0/sXU6Re/TeXInMnj5d0zSgOB
+IiWDNTVq+VFg8pEXsyl5DbRdJxVIS4ucpCMNzMK6fd8hf/7f5ydx27cSLuGr4gAc9iS3WIrWnLQ
eLwhbI/NYioWc7j689BnY7EFNfRvBvAYM9VVrPCFN7w94Nl6MkvQiJtHM3oGpKwvZ2nVpZckEG7j
cjZVcEyEB/KoFp4f97a0LrnGvjY94l/2I28XF8huegSyaebpC6MhdBYi4t9/UV3i/+CKtu4TzX2n
QwYHmun96RRz+RLb7nsFvQt7JUVkLa7aubnXEsN40oChf1ctSbmRVpcshV+bILQIsnCaBpvS18vl
7KkgFyt4oFguS97AXdVG69D3aX6qJi95mpupvH7vB6Q0RG5BJMqBAE34csQ0KUvNQFcpTuRKVxgx
35vCz7IP2rLUV28PdT45hgogqiKwQql83xjvUmhc5WzJ2ONDQcHQ1bPjZbQtijFN5MlYlHpvGRZa
xMZMpNtF6QvWx352VJ4yu+oBfQ5LSu0k+AJcrruQlZyfAcryoIH87flkXtvf/3XSC78154w+Ujwb
JNShppLsceSx+7za6fr77TU8e8eYEBgd+EdcmucmP5CCmnLJqjqmsWNHbcHlfWibQLukI/BHtPrF
zbwNtMG0wWmzG/crZ2tiNNl9Kk6DMv80uVnXRcnqZ/OJcBgxuGUKirD2s6a7kX7WpQ9cdekX5WX+
AvilaT4MbmENP0Y3pz6blKmD27gOlSmsS8dJPqhcwtMqRTs/g8px6ggSZ7reQMlbrZsFZLeLxv/Y
OsehMYxvtT8MQoYUAOZAhZ491e+tpG8bhaQP31xius0c8OU3DOS6LmXnV7E20zUbi8S4V3m2fnn7
651FQLtRthPy104B6mSasrAqvl6QIznr+FFdDTisVFVx9PO+ZF2F+iwbVcZvj7xdHPvPyUUNagiW
3FZGeDmyAkrRpeWGfsbl9gRHfD4m5tBExqzcj+iKLKfGSLPPPpzh+3Q02Mb/w/gQ5ggAcZI8Ez5S
djppaNPKzUuyQmuryr8JrZijSmnlg+pMETm4xt332hg8Zzz7702DKVDAq+HhgLROaXr3cAwgSNxV
FhzRpPCvXWtcPwwFYcbbk9xRUrfnAgDORsMHXLQh23fftwtKGnDYAeFYHaj+Wl/L3gmzbOmsaxqt
agndwtTGn2KwtDTUa2+trslKG+NGmZ2rh7Ux+TBMNVcoVJsKLcfZwpyrSEmIsGHneTO68mWjZ9FU
2jCfu0Au7jV6ezK/HayidS9s123Tv9w02yvLu87tRl6/76GyQlgqgLKhEjzW4VKWXlRqw2dkadbj
2yt3/jRsxe7tPuPCMZH8erk922JqbUTd6xitYscIg2zR7mppy7hRiQqtwSjf59Lz51NRRgDJyVmg
BroPzxAY8NcZmYR4qdPyuObZ56DVgigwxSW8xfmVTYjLC0vtGTq05e0SxRnK1EDyVscppPzjONn6
la7GS1jl86uFIhKxEQAwn923byeZq/LXQVgq7oPkX176MbJH48g9qkcIW5mRWWuPS2NfiB5e+W7b
VkcKAhIdleTddyu6VKkJTdh4tZcstnPkxtpmrCN7rdLjuFrq+e198spavhhvd43hkiwAD08qLrxO
v16tES9r8tro7VFe2ffIgRMTQUcgiN7vxsEnAMqnZZOBaILs0LWlt2DtqFsH9Bq8CzfzK0tIB5dL
CdnFTZ10+zF/vQm1kHVvVbWK69oCtTZPv2crfc6k/LX2yY+3J/bK8nH507ziKoTut4+fUQXVkkIS
ZUmlt1GKH+ihsoNLscP5KBDlqI1sMDif3b3L8zGusX38J4a4DLxu08nttTBxx/q9cCHWa3MsATAK
bIpoZZdtj3lV+J5inNHsjLBxV+PkpqV1eHvNzjcDFZE/wN5NtO1MgbATiYt509rHmbmYaZTMPJvH
0TFzO3bXyr9EBjjfDjR+t+oVe4921R5R0g9tPnT2PMSegKMU+q3fyRMxQ5k9YH5b1I+qM9r3MW63
y3Br7tMCY57ILO77GJrulW5n6JicG648+G2mReVqGdS+h0tv5PlybtiuTfuTTjQFyF2GQ/9M6Y2h
6XHSj1Mkkiw7qMrvrnsIWRdkt872IcEcFW8yOBs9oDO2ecFmlzNV8Thtm/nQp01ztWEmLzz6fyBL
L15J/vekMyAk/ghI7jVdWiMZClwS8G6fZPuP4XLBx4ZMsy4SxZTax0Ha7dclsc0+i5K8nZa72qi7
5WQV4FfTC7/mfM40RohvSHpoXJzZU9pVM2nWkNpxMCD6n/SeHk8+dg1vn4k/5K+XcwZ0xuZkj9pc
+3vtDW8RtasD34rHyinWY9d7afuQ22smD/SoND/MXFH24TDls3YLHjSwCeeVUdx1FN1WMr7ZGIwv
etZKV4/XxWtGuCH9ov3TDzp0eZ+irf1JuoAUjojLTMGtUDUEmbIBX6+auptJBuq0Xw+FZzbmtyBb
vecWtGiZhe1QKi8Sq1EttxTQEUCucDF5rvwcgvDoTkqFSrqdd1RKNcap0UEy3g56bhTHcVTu8FAF
CmR9U495ipixXYyHtRGm+q+uuv7ZKju7C8fUEW3c5J0xhn6jwRhXygATEAU0Am+w1Oq7Q0r5TsJM
spV/8r0lKZ/WVPQuYX6yuMfEaJP+y4Ayj3cgk8qm+w7kQXAFoQaHiNXx+vYoZZkHh9mbtJVSzrxM
p9E20dhJSmF+sYJ11Tk1m1x/gzvkb1UD6f5a6UjBfk+spNTvSr/Ny2ObDDL57+3vf77LNm4b0TyB
BriwPfp6Vsbc5bQB4y7o1MHtjTTCpEad3h5leyf2mwzpInYyFFtaS7ugvR2aRHBTuPEyCfULIXJ5
l7euQvZHlXersIxjIZv8+PagZ/cTyB/iqE0o3CaQ32uW5IFYNFXb9DBRJDxNbm3EFQTVaFzkJdXD
V1eR8JrQCUbbWbVY2PYIQ4BDhA7PeCeBtqF/qOv/w4S2thywFfA5SIq8jC8WVYomKxI3DsZ0E9hw
y2MFUv9Kdsv48e21e21CG3UINuAm+7kvf89F3xlK+m7s4UD40KAleZM4gXrvte4TvlBPpYVFcdXa
I2sbvS0HrZ60eCxLE2qFlhyA+hnvXTaQe1Cs4dhs6M6zupjwV1gck+HFvV97/9DSTA5Z4wRXs91c
Mqo+23IMxTZAyojIjP7EFhL8FQHqY8dDGdQ+79SU/DCTaslRyDMyPBaQcLjwQJwPBqeMqdGop+QH
NvnlYL5aK/y8tSCW0EXi0dX8n2iz1pHo8Yq8MNbZfgAZQRlvq7ZT8CPnfTlW66aa22VuELP7FYjk
jkpS3QSXUNCvDwN0idcINvleb0opPwd8agVxVU3wbd28RrI88d+9IZgM1y+Yzo1kuOcpZ1rAfWwk
QTzZvQ4iYNPpysd+OKiiaS95eb8yJe5V6qRsb+AO+5MEMynTKWwzJdGoEJTxgBx1cekZf3UUgA40
DFB/PWsEC6tAEahOk3is7aQ4pLVMf1KbXS+5IpzvOT7Nlk5R+WHH7cPLcnYblHNzN07yzA5zE46K
tPv+NOuFfQEj/cpQROvAr6i/sO/2+qd4A0yIH9pB3LX5dCTOXiIjS1wcOob23bvbZdHwzwECBEF9
PxQ0XaSg0i6IVdcHoT7aQZQaF8F5Z4U7wjlYz4DYN/0YMHMvz1Dj+QMKDzKJ/c5Pk695V/v6B2Vb
qQ70lZ5SmK2jqg7A9ov/hLZ10VbP1C41Xs6XFXgx7GQuxA3ZuZenc5Zas4x8DrB357pV2WBHOF8H
0ZBfZOqfb0rSYYp1G72RtG6vPiEdmRca2XlsVJ3eH8VU6BXe0LV16fl9ZU5IkzEQuTcM0X2mlbRO
2np6ncTOUHVR6VNtqlRFP9Bd5sPbD+MrQ3G3kyfQTKXGvMcxd1zs9mDrWoxpG7phjfnvpAPorMBk
vX+krfRIer81N2G3vNwuRVm0OH016akbsBkxAuUdERn2rqZce3fSyLUEX5gTzXg+lhwvhxqTsZGD
Yaanwu7+LXxwvnO3aMftv7pQInllS2w1LRJGhoM9snuzhCaBfWdLekrttotaZx0iO5jS49sf6Szz
5pcRvIAjJOgEHLl7hvM5Ix2bjPSk6vpKA4gXBsL9r+5Hkhb5PvUTMm6aRUDqt+WDi8rGeLl4jiV7
qByDOIlk8ENwt1Thhzm4UPb+s4dfhNDEztxN9DNoKpKu7b6RZorO0epWi23NsqspHIM5Kz4sOqLM
j6uJBXA45O3oUpBf8yas8T76mLfBIMOiQzx3A9DIMq6Fi/ux3uNN9n0opWcAnxV+ciF4PDsjPBBE
JITdGxoObZuXK2JMKcpRaVqdEBT7R8mcDEpW/0rswi5U9852EwvPnUr9AeYotZ3dd07qEf5XoeRp
Dgpx8OrOPQa9VV84iGe7aRsFRj3tJHYuLc+X02kXY5W1A/fDmsx2jpB2qPtwHRHfDxEMGsublR95
SUX0fA0JgXhpAcTzNiEI93LQwVUl7YnMJ2NCJyhyg4maJXLg83qV2X16SVTljIZKw4xbTd/kzRE2
owz8crxgNgIh3dWDD1St91k1pzdtYlS/9QWB0SNEu2xAt3cMsHyupfBOQZDVU2RpmuiurAZyz4WM
8eyx5HEiZePmIwxEuGMXcFZJhrUCQJN4yZLv/bLGptRunDT9N52Lu6x1/7Ea766yLnWZz0tAjMud
QRAPE2drbb9cB7+zZFCnacA6KMMIjVRaoZ8lfjR0unGqBhHcGkGX3Za1OT8Zg2Z+TezK+fz2/XWW
Lm8/gvYWWDSAVsAxX/4IUY+2jddUQKSgMv2KuojfHjEqspxTVaKbHPqi7h4LUcGFenvk8xNFqYlC
ELrsW/9mr1iBwU4DC2kJ4sJoVBU6ylvo+a7O+L+Mw2VJwoxYBbos+xm6NfKRfQC3vfV+pMU6POlW
V10IIV+bDTEBJUPiOvqiuzuT/mhmdOytuFaed0cjHmP2MlsO718zigwcHaJUbr3dKASqpW+m5EYr
MZt1nGRhTIfamKdLndfzO4FMD7Y01UkSCfweXy7a7KQ0F2aCfLLmLAIjp24Db2gOedlc0iJ/beU2
ZxuU1yjYEFW9HMoOCm3IyiKhO9NmX104l7FT1ObV+1cOss/mQ4gQKGXXl6PIrk3wixNJbI3Fcsys
XD8NWu5eeCXO72+W7a9RdsumwPt0JERJPHmZ/CBXp75Rwjav+kwz7+mze8e3Z/Xa6d10n4k7Nmr7
3oUdw6dgphpEhG24w7W7+t+LZpwj0Cpw6ZebvAYn8/aIr3ytTfFl4y78KaPsLi04AOhQGFUSp2Lp
Yl9v84OYg/Xp7VFe2X6wTRjIpbtAHW+3J8omQQ4mV0msJV0ac/8Fp6kS+pHdccn8/NWhaAhRrNmU
tPfCW1M/ETZYQxJ7hfNlkTOVZS9viXlkeeGdeXXpHHDNG3IRks9uC9paQWcDbfAYo9Y2HEzNOur2
4Lx/oyPxsIWHEGm4X3evedm67pLmUouDcmjcKHHT5M62NobQuz/RpmpJkMjNurm0vjxQPPGTDKRI
T0Awqg9aXk23uaaCaBk6+e3toV45VTRJIH8RzAMo2NNErFKtLGgvToM09ds+WfxrqWndR790+2+O
17aXaoXbMX0RAGO2TAz8Z35bAX23yVveSSRJC3HCF3lW4dRYvjiYrbAhy7ta+5NoNvGv6skR8otV
9F4bIoTQtf8N3tDKI51tvclDlXTVB7gg1vQ4IPqBEhjMASeUbT3JSHpen4arr0YbtNOQfE/w3uqP
PLYz9TWk89Shy800D/Vidf0fbuMlGwva0MVDMplcMIbqhj5O+1L7GSBN4POwtbK+MrpeBMe86HQY
/SnkGnivo62HxTRpRWT1M79gsqZuiNIpzb9KxMNxJg70rIx9rQTG/faXe2XLgzUGQwPRciMibX//
V5GyBZprozUEEngS9UckUPMraDr/w6u4heaAhMgSCZp3W3EYvRqk3oIuey2cI9WVKmpWSh3/w1z+
GmV3t0Ofci1SV3FKjPy7PQzzQVHHOLw9yCu3EYUM5IyAR1BhsLej8NeCITfZCor7bPVinDZSuqKd
WhlHUa/vVQ+hGLnBcGndcplTJ9oNhaXRYldliaEcHiSn3CHHGFVuxFvj7sLSnc+KHjiR3vYPqmf7
hFKCcikz18xOuUizo4f8yzGZg/nKWsE1v3cBaduCPNzaFn80Ll4uYAn52/VLdFsRi7WiufGcY5B6
zlNv29mFG/B8czMUTdwNxwJ+/4ytn5Sd1TigbAXdw5AXugmNIbiEqH9t7TaOLbx9iiZ0v19OqOnz
UVoZnNNEZnQM82CIzCX7B6GkS7z585G2WgZSsZukFq323aMLM7VASlCvT403GXkEGgQFTyGNaTzo
VaBfyqj3w/F9tvcdug1dfQLA3XmiyV1ItwySuPIXlEd8szSLU5aWKTaZ+iDWC+Wgfai0DQf/jxSX
tglMsN2d7iiz0b2WahqKEKCbqkzdGqNVHro6G+LWh27a6aV+IY7Zv1x/BuUw/1lXwGq7M6ZRq0Mp
FV2tbjHEJ80bu+PitPa1gsBwT5R7ST9mm8TfDxfj/SGSbEUim6nubsIEcYUVIrhGczBDQ0p1v6Rp
PJdd+zj5JYoWhrqq8unarooLSdYrH5PcZytSbsC/M7mPpAGqkNZrehKmVQa4NqTVxwXAdnecVldd
uopfWdYN90Q0j/UOweguxmkGO2mN3kpPRoqn3uRLIvqswxwqLearaQyW+cIFtj/q27oCfGLfgAs5
Vw13PSG0VjJg2vhzGPgtRp9ldclO9/VR/khRUkokk3h51H2/kRUi6OnJXrAHxMmsPeDt+F62B3P5
A2tlOjAGKMK8HMWwyOscKbKTi+cz/D1btrfYkKV3wnUqN8TVxHn/6qG6RTwKDXnDfuw+l75gk9rY
HSP2ffUBL9MBLUzjkojaK1twa3lQ/YfRTYl+t3plFsz+gkb9SSuL+qiL1HlYNNOMzaG4VPR95S6h
QUkqyV1Jd2NPUNRaILdFofOeNar5KARgDcUFebREm5ThgilyPDiNc4ExcH64+XIoLdAW3QLh/eF2
ljUwa33NT4uv12Oc9aM53tqpY2RXE8rh3c3kDuXPPsnwESuMdvAOcw+z9p2vHkba4K+2mg1IHqqh
u+0zZZpr9KIqTr2T1Z8m4S+fhqFXH99+xv+///ryKqNYEwAV4RzoW9375TYdzNmyG4tEs5ilbB9W
pxyTq0DL1PhZYYH7S6OkoN32TZ1fz0lrBqfGUXK9zlfonGQifWodtR4w/t3U2V7zVA2LWbYhzzmc
+8x1W/coMJEP4m0YdVzybCoJSsbg51gjoxuZUk1NCHHCb2Kza1s70scVpfu6SBv5VU960z6kiPW4
nxJn4k4AAt94h34F9HmdWubY3hmrQP43GVYhPqJ85BY/UomrepgOtqFV4VhpZndrWqsn0EFKgAug
SeAvcd75Wv8JtoNhHZxGV8iGJE2vf0vMdFmOrTkt3VFUmVeC1EFVJyrgRDyNgZHBvjS1AWFKMD8k
LXlS256gGD8PJixJlRpLKMp2yk6y9hr/V54qazzMwmiNO2QCVifqlDvKw1RZottMxBc9Lsq60p+E
j+PFQQazPt0KqQdlXLD/vMMoa6Q+As2prM+FG9RB6IrctiOq5KkIpx7LmyHscgwBHjYpIv3OAdqO
UEVg4lyGwov8gdh5NXwoRuWb4TTrtRP1slW/Zo8i+I2xakv11Po++h40WHD20BS2G4cgn2GlVS5s
gMNczKt37P08Yz/aSSfvG63yhitNczXzRIw5VZ+WlJr6ddImbnndroUzHaZNOOTTDHPcvAOkVWID
1RWF8S8CaN4Etxngy/LAKCh06cC7258a/Rj3O8LOCdfymEp5RF4lkyH2uHV5XFDPFiIMZmKrFGSx
MUwPvkP746hQucCCsQxSrGpaLiJBV95x80ejXywdsT63R+ijWxaIrCXYyf4wdUbn3ecL4GFILKky
D6SixfRYOnUa/IJUmQZPTaMM9RRY41iGujdahRuuldZVp8LVbO9nJ9y+Oc6+1bf/tZpTW0uYVGLO
jUhZhlZ/6r0+4AP4qp/mm7ofrO6mzPvFuGuhOtRxqQVZekzUkCfiuuBVN5/hYJrmf9Ns5d6Di6+7
hQGWYQ5fZpPa3VWr5SiXiHI2pq8L4LH+uqSvl3HW9GHOj5sUhrpG33wW0YqMSm6GfSo4TOEo8ppG
g9nW829KDJN5aHhDuk+1lvjWFXVUKZ60rWp4VXWA4I6CzmsepcFkEQJPi5Ff1XM/PrfKaOtjHwzC
jdgzYxviZppj+rcqvsrY1V1xVTSDJb+BwsVFWNmzp12bWtk/ra5EHDy0y9VPptD0uzH4sNad9D/K
AWG0R72ZTPiXgZz0bA3b1XcpDEE7IKDJRuk86COtsVPtisl8rpxyWg4m+vBBiHDf9n/qkYo4GFku
+psZE4bsStm9o4e9t3R+PFqZFxwpniTyk+IpNsOus7Jvqh56C6uwoeutK4QYxQ+yKqwSV6MrktNq
rIM6jiqdp6+a04v86Oul7YD8aQe7jyoxTtXRGMzOg1s+FepKgDvJP9hmo1kipBWTNgcEXt08tEq/
n35M2B7N12aFvFpke7IlR5Kj2RqHLMtq4zglUOwQfMHH/nkcAqP87i96NkfjKgLE6ujker+MqsWh
KJwrf8pimfVGNFrdtWNOYDb8ZvGPltM1j1YOyiOSvdukh9p1x+CQFyLtInQ5u+Ypx9b6lhrJVBxN
lFhGfCLdPLtLlnbNwlXzihzQTDD0T/4KBzacKjlqsH6S9NtW5BJZ6LZTu0aUxJLud67lyefBaLP5
ZpVDUg7AOPxRlgcvq4QdUfgZ/TZM6Sb26L4sM/FPOIxZXxUhd1mu3xtZaS/Xhl3iMeIuZqZ/aRM1
swGSqhzXgysLDaXaAALwKEPDLnT3kZU11+s6gCP8CdUAZ/oxN4PbH+ToAzsN+040Q4gmmXTjNqhc
K5JDP0m4OO5qeSXsB4RCD1addfldviazgput2u36NqULoQfoYvGYlW0mQq+R5Q/0sca0gBfc9u0h
83qUcldH8du6sVJI7HVz4xq3TaKJ4Xq1S5dVVF0r9Zxtm/R+6KGt59/oq1kbN0FR1Z8DgC/jjTCW
ToZZsIqbqpl17ZSzqs6VmofGDaecYQ6FtIyvXWAXQzRjY0OjzhZDdlhRunfvCx5d7SFL2RFz2Ohw
4u59u3XMm6bpxzSWXu57P/IiydcHLIbHjherMdvuNOeLrxCkHoHNPCVukLQf4KOYH4O6ILGWq93/
44+28TNBsharXl6mJMLgZrrr0qH6SgwhHtU42FXYKvoTJy3T3a9QrsbnRsp5jqhgrvYdji6ec0Nn
ZczCbJ7H33mzOr+SaR7zk50PTXGSOFpzLSnR6SRPgYOwykPh2fPy3BojDA6AR6l/5VdryimyxOp6
LJObDB9LZ7GyW783MuyZG97jCqcQNbv3oLHG4r8SxrZtIadptdWzAba8AujcLl6NlZl0zTHkxK1V
rAC+VR+FLvw+LPpkteMBjS1zfWy2PzyXdV6gTqGVyh4E+xYkx1Ug22GMdIRFfko3cTALG4EYh3mX
99q91lj9o9FRwbzRvKxJt3DIKcK8Sc2ByEJK/WCtg/NDm/sMwZ88y52fNnZqRYTFhVAftcRRZei4
YMnuh0RknXlwMNv4bUy58ZnzpCXPcmyr7LgYZpb/LghO50gChX1vL4qIk6SWGgjZO5CzfWDfjJlu
VrUtTnNll9/GMm07tFdnXz8sq65dCDzPswgaoXQBePth8+Du+jLsNCE5WuuSiJMP6V/jQ1np55oo
bYkUYIdLWMfXRiN9AFvp0+gApPJytAbBYycz7OykN91wi4TMGiH9ZT5kifQuFMbOk0syFS5ZtK83
Qbp9KbZD4KqvTS87zXL+jxC3OdR0QeMLYTu/dxe0A+3ezC82ojHVnZfz0Z0+19qU+aBaKR81T+O5
deX6/e1RztN/cHNUG7aCw6Z6s8v0iAgaG7AA9HblZI96mXrPmrO5eKfCwKXPTNcLmddrA4IRAMeJ
NR9pya4yZrduMVvTUlAZc/I7s0yNm4ZQ9waDuf5Kektz/fYEX/lWVAFQq95EylBy2W2LdIF2k2p9
eSKlaa/MaRDXZmZMF5bx1VHA+GyaD+DL9miiXJ8Nq8JF+KT8kZworwia9Kktvr49mVf2eECjn6Yh
BSncKbe//6ukTQKgE88u8mQS1B6Uo7kRTTLwgKXlHt4e6pUZvRhqt26GlRkLtU15qrj77mdRym+6
P11qapxn/xQX0JwG1ci5pQT8ckIYCudqXsbqlMEjuq6cgV6PsTofF182z5nb64d8Luyn906NtvKm
RcDB2nheuz2vBr0dvVzKU2vMuTh05pBsGZt+iYZ39rU2WCpwZZcyDYoBe+SoXBWpnaHq0+zx3Kea
X/7g5bGQyazWT29P6exUsYTU7uAVoquyoaNfrmOhkJym7tSfhoRI0Nb0IsqC6RmJfqSCrXdzNNAt
hCMMldalfoJT7q4K5aqsnafAZDjc1yMxr90mqYL8vAMe9u2ZnS0idzoXBeU1aoXoR+5qF/rS5bgp
OEAMisU7koG7n4OpzG7qpex/vXsoUiBQehZle1RNd/sigHHkDStD9QFvVDH4WTiURRbXubokW/3K
rLaaIRBzFGpoy+9mpc31OIimN06GneCPYBCyZhvpaXSySzJZPp/+xTti0V3ANwdo0qb4uWc/G8bs
pZKGwGlYbKO9Bkdsfpd656nQTNP82RJm8iRSJnos1zqrjm+v6dk1so1OkwBMAHAUhB1ebszKSPvM
EoyeUuG5oszkEXa5l2Bnr40CXJmSJWPgobOtwV/3Inm2ciiLmCe9pBmAYOdw0FEFuXBv7A8Z9VCe
EHS4QY3ykOxBxNwbauO4+qdRGv51bTXrdWkPvwZo+Vf2IC8t3X6PQErZ2ixsRgZDvm03qR4FNW+W
VXICBlNf1au/HHSrbWMRiEsqcfv1Yyggqn9ayxbV0L3CeDYP4IUWSq/Ev05Ugki9HtpWXCh3nq/f
JmFA4LkpBpMpbBP+6ysFiCAH2uz6p1m4//bCuOsqtw4pjzxN7ppeGOxsStifbzcvFxW3In94OVgm
0VtOzNU6gSxQ06FfWvKsOivz729v8P+vnv59wDb1UfiexNUbbB4Rn5cjmX1JMhH46XVpSq72K/K3
Sc+vdafKtnLS0vjjP46thvVz16yz/XVWpjSykH+TWQ90cwvn4DoQBh+ykvb/PWxBMUdOMqfyGkuR
1XisRF4Wp4FSD7WoAAexY53jcBxOINvkz7EEuBABcNa7D9A5xXxdCxpTR8PLmywazUYkB4pEQvvc
m8rHSVItdXFcEksbjzUhQO6GQalPvwdCZvtQl2ZFqlw0vnMaJyxeozq1jAl5gaHL79e5lNldrRoE
kmon4O73i9USkVpA/EAGLFT64KUIAB6dIZnaMCt1a7l1SqgN6ChndCI/eJ3nVx9EV1nuo4kTJL5x
aZtUkTEtKXhnn+z9VlSy0T4uTpDZN+wZr7618zytwtWylu9k4Eo/itGT84OBUr1/TZ8TcElotHBU
Tw4E+/Z3sc6UIihr2ijgSy9po6QoiupKwAXODyuplXFM5WbTIkrf+w2gjllPyLgO13peNcPVWi1l
EGEck/wQZYnonyUwPAkXX3PKcFpczJKywZz8uEtM4ztbXlbYI2eyPemrg5U9BDo8tZuu7PWPU724
n7VpXMrHvkwc7ZglRf0d1pT+O+vN9OOS6y2Ca0iRUl3WNi8/p5inDtWNPvuSUQ8NDp7rNh9zb50f
21obIKo5s3bXL70zXUlcIgUaJzxfoTkujYq8SsKcLR3MvqPKHMvgrig956deUaU+EpmWxj9UWuzl
LlVB8gPxxDw5GLWd9VFQBGIViKR4qx8Vo9N9lq6CsI24f9tGelsFzcEwponaLJSzbIzxuwjQjdaF
rj4LPVjkLSKaE/7N6VKN8dTA4LsViW19m1p7LX+4qfCrE6U1pZ0ce7HKj2PAxYZthm5qYdd4wWPr
rqO1RqOhCeML5E/zc1Utdn5VIpQj07DmWky++arx819UVKsveSbyIdbrYnI+LCmtooNuK7rScs35
JMuKWvdH2eZdGlWag0HPmM3GSi6q12g9aEqjvWSWvX8vhSyGhzrX9G/VCnLkZIraz8cIrT9veAzm
1lM/p0DmzzbOP+mHcZbNp8lfDOOThHXe0sgsFkpN+by6137bKAjMujeVz05QLM5h6QIDIz7qsL9n
Wm5juJgDNnK4hFt6GOiaPt/Vdlc1d4U3Zp+Rd9EzGtvs/NDKl8T9PE9V0P/OzATc6LyUugjbMZHP
k52p/iHtR8O9cvVB12O/KVznpm7Am94BLZT2U14n7b1lKwfpRRc+8n2diC47GB3sMwpCDfU3iy7C
+qjgPRafKfBzGkuqy0bI9hIeLwEh572T+uoDyug0NxyUA9pIWIkRhAYawNWx1AqY3BiWIQtFObq+
nlKsWI9mQjX26Omw9qLMlpUV9paeNwdq6FTphZf5P3XNWYtbCnPCuVp4XEXUV4H5f5Sd127kuLaG
n4iAcriVKliObbvb7t43QqdRzoni059Pc27GVYYL3kADG9OYYYmiyMV//eERF6bS3qm0GkuMEIwR
73XPGwGUlmToQ3PZeGLALt6DtEo6GI67OjPBcmsL93symznMjIH+kDWJYQ7ssQInahOnN3cepF9C
WVyvyKPF6Cpvk1hgk9c5znjlenFWhlkqyPWYiszGy8U18jTsaXv8MRZSGIIewTgtQRC3PLTzRD1n
nF3p3jR77SHRuQHuTT3r7pEuM7tzMfYRCU3db2eAS7i3zMz6gj68KXAVV1UZrlJTvzuV0oi08Y+J
DBMjuH06+h7wka6qQKxkZuzdvG33WJOr12RKSuPGXI3YPLpg1n8L0VcYiczNbLMXm7GzE6l0XyU8
5i5cOZb0oGyK8Y4yr/oxtQapO6mRz8CwRveo0w77g1+6+jXWc/rdGMH3w95POzMc3NFh5vSirHaL
wfHATc0FIM00+3fRZ8mPvPAWPxxHpMhk1hjzEgiFDnMHZuGlN0tcrn/ZPM02gLWy6EFjSZ0OGrq1
aZfNWvtqT8rziUtRCj1Anb56roirXSbx3Njnk5fD7puJ38ZiqQKXSK3u0eoq/+di9o0RSrutbgY6
hgqWf9pdZ74x6TtZYvxOuoKhhkD34yXb+3lv/MK6CBd/LkHMZ+qLRA+K3PfXwO4BPiEk0kg/LiD8
MQWxay57o888P6QzoujgG87c7koo4jcxiQ2/q0XN3FWzfA6YVdQrK/m1f8pMq6yocPSpCEengY3Y
UEI92AUE6r1ZIjULs8z1/rhGa3xzrVUTQcISppFmcOGdVDX0cHbmmQ24ywR8Qj+27V0WL/MQjCQo
k1vL5v2/eHJdE9hYK/7642L8iBdiZ/blME6v89zTRJ1b1/9WJqv77NZTSfjsrMrbWE2QnbxumvoQ
OXUur9OhobMjYGn8IOfK4P8uGFTv1EC01K5LdHmHYHQsdxP07ivR+MwMCjbOX8/t+Y24adTZbkps
DgxAw0HnPGukF7BCtMfOcto/Q8LZDfshN6owrjl89p0n1kfe3PI6DrUtAj3v22eDhJku6F1w2KDv
E/MuT6Qr93435PVOg5QyBQ3cWOJ20Jq9NiTLzUG+oLHctlbasjROOjaGOW/LPUy59L5fRkw3Vdqn
T5qVj+kRQZkdGRzuJiJUt7ODYYmd9OBUU/1ctr2L7/Ragv7PBvml+GuNbDQyB6F86quq2kMIiMtd
6dX2c+fSFQzGfjDLUC6r/ZQNYsEKGHNl76CE1bg4ppbmd6H4Qnj0qc1Cb9Cal3J1RqzlcK7806yN
14eIjmcaGLFCdKBPdGFv+mGtfgpsyGw+Ft3nu429TNuv7mAyw0KuP81K0+MgdZom3sMBLbQjrUjs
EKQ06MsVWdoXAXliHMtda1UT1hyOKkK9q9trOgVrEfRLmeJGMgPjhJjQDU+Yg680qKHj3mHZPBWA
03bnBeTQaMVuUJ2Xhe3k2sNRTczZvlBW3oe+RYhfKMW4/oM9tv2tx1Pue0UL+Ett+fNAv2vux6D3
HdUEdTOvnLZz0f0F25n+auADPnv2YL60HQSBa02rNeOYznN7aw4Kei76KE5N1Vu0gpzYyejjtnX1
TOHVfquKevhhxwayHlMv50cSP7v6wG3dfS67RX/1MFd3g3kBBgkQDlDm5tUqnl0oA08zAclYHPcF
FgW61FKy01JTij2ItXmrMssddpWtsBxvZlWP9KQUk9T3HQ2I2HZiufU0u+uC+nh6yPTaTwiMKIun
XBs9HKdlZehXqimXajcvQnZ8Hpx9oTk7xh9jZQvctb1afjh+H3/FvtVv2NOpqYJRGWShWritzYE+
6J1xVIO/iDR0pL1WV7npjdlxEjVfI9zTbLpqZ7tYfk+4max3FOCW2OVmOutf41Vi9srT9vFV1xWT
OjBLZXWUVeLwQsnOg748WX38A4pGuj5QOOTNq2WLXuxrT1p9OPl9Lm9b+EDDI9pOp9s52qzHUWdY
pdUEBDqyeQdTk4/evtGMrArTfkiTV9nmHQ1xzpPfTuyr+AUt8ULbpY5FvR81bUHPMBf9iAiMY+QO
2pLV7RKjd72XeDPdOpitMdb7yhu74npKnNTYL9gGqIMTF4Z3a9GkG3/aozeIveYVhn8gRW1wfiMY
mpgCXayg1HU7leTy9mMU59DBf9g1kWP3fpIIFal1XYyI0MT1tWf99N8sV+ltEhRIOdq7CnGgcw+z
w/rKNdsQeyYpd9IgkXE9haIndivCBNkfbpyh46aDY3U9Rf2i18XNIvTSww9wqb3b3ib5MHTn3HYO
WUGbluO6odyE3Z7koZZPrbyiiHAXAJi2rXc6V6vlF4i8MF+wJFohQBhx7t26FKDfugYe/taprDks
G53bR241NZc2QZLud3Jay+TrJLZcmFBwfWnCqmmG5sVGJaqHoKwdZ1xCCumM1+c4LftWzqL5uVYT
kjsSZVr/xuK2at6T7CfKY7saqaSzZtXiHnMeUutYipbBkk89LfH3MmtkGdVsl/O9LitKP1N0i3dD
IvLiq51XQXL9tpDnte46ssbKwIjtxr6BE5P1h7zybXWFXMLGc5I7eP2nMjLihgm/nlSQ2HOsh1D5
repQQ8rNd97CFfa5tNphxXdjdZ37omjdaafkSDYdbAS1/m07SYsnkPWK7Zccaivdw/DyvOt6lnm3
bxKtf+oH0ZhHOootNxmvGMiBb1OoVvdAazo/VNW9fxDmmqdLQIyB3147deM3F+CHM6xjkzAz4ciJ
YOvDa34LCsx4IOnapIpIpZ3x1eDe/0LXr/3liSl/JkLzUlrwOdwB0K9tBo5AHj6qlbfjtXHXmzFt
jmgZhBk6res9t3VdXwA7ziApjLY0ziAYlQCJnL1vR3HquFE0s8sog7XFObGS8BeYY5tCIsIC95Lp
wflD0arcvCFhULuIK08mUXbSh8BSZpEZK6LsUn/q/+fh+PZZ1S6AOcYOMPE2XeMmp337WFYLRkND
OcfNCe/ZJB1YjQaAaNUXl4ju5+sClQCxdDgcsSgg1r8dqo3jcdSJgolE1XS7wvKnr7reDbvZycyX
2PcuUQzP39i/5svbs4GSQ59+O97orNaokimPnJ7toFTLUmMFWGu3Y1WLHx9DYe+OhX8cSCIcrrPu
VAqs58eOnkf92id0wfOmCjf5z9d0Tu3nz45FuxKYHnQZxSsI3Nvnsr2pcqrWKiP8KM3rga7yPQWU
uFko+S58yht+9xbf2zqjeAGihgGt104WfWGsS8G6KKNurDJ9PxeZ4fzKuhgCmwLB+tK3OGQ8GHNc
5Ldz2pRP2tjO89Wnn3fzskdkAqDOfnLyHtUmtUy4EUbm0KaEOqbTiz4iFAtym2Pz47HOPzsS6LFA
xyQBmj3EqrdzCyMHz4UU+LFVc3KQg2PvXJk5h49HOTO4pk1PUYkcnozUTW95MkzMT3CMyqiiZoGX
BHpGk2K3Vtqch/DqvK+jT1J8xD0s64Jm6eV662H7ph64WuYWRVmitCu1es43fUlHzE4Lkmt3Iz5H
2S7mRJXXVOte9xKLfNFwJUoKv9j5qVvKr7Xbut3e7uTaXLVSGyVG4VO3fCW6xJ5vfQqxeG/1zWej
V///gZGfMLM6VJrt+/kv/m0iZMX7qYqyqZ72dRLHIcXcN8D/Ifp4bs+/RKzr2V/4MpBB8pm8HcnM
PG0Cg6+iRW/SO91VP5Sb8WT9+vr5gbDnYmOhw4P17Uk3P7O8Rtco2yNoMUsYx5q3rznrwhQp4YX1
sv3mt58h26Vr8Fw0D9hCT3ZOKQuQk7psIr/27TskVn5YlMMLNs8yoso095D3/vn46c4/BDQY2zaN
JwmH+BkFg0t2A3hZRRj9uLvJTCaqydn89MsCP6MhDRBCjwymzNuXVWgC+5vcrSNiODLCjpaxvE75
JNadiR3Hhc3sfBa35hWKVotqihrlZA0mNvqqpAah2zYtbyecBveTXp+Gq0QNCVBgb+slplf++tmI
qi01DCtf/sB3Z02eNGSsngcr5NRELjVuHlQ9zZhg7DxDXti+zhb/xjfiG8PHbfvSzmwYdMtRGszH
aI3XNbBi6Hle7NehYIe+MNTZac4GiUpyi92AC3TWZLJX2Cyuo63RKhvjHykrJ6ymxiFpUO+oktv5
8ZMLknGQfqLUwe2Da9/JUknMHusLMalosrJlr/m12LlWZV1YI2fLftNOo3fns8Z9QT81RE7BSDJd
4wI144j4u42L9TtONZN7obN/thQxoUWBAZEAMx4sd0/2DlvWmbE0thbFC1qZfPS7aCrRuAZVXagg
p+mVBEuWqL+fncPNvoJPjuMceoZ9sg79ApyDMIU+Wke/P2zpt2Hbltmn39S2ZTCDUJzgmJzOIe/Q
nEo4n9T/2LcPEmB4EMUlcsT5m9qOEiaQVQ6B5vRrrjNwmcKrh8iyxLRbp9ENIRQMu49n7PxFbZ8R
w0B5o61zepepyq4A+u6GSOulG+Y9lqZLcZMkxY0HgTwse+vSLnX+XTFlWx2pb6mGLJO3W6KTWXTH
JMeiyKf1qeq78egnsj80bmxGY9EsF7bg83l0KXNgiW3LnhvOydmCyG3UlabPUT74SeiSbR1Al50+
PY+U4dwGISqwZ1ABvH0qJs/Ec8EdI9wrkn/czKR8w7kl6cJpJvj5ilai/6jXjXXJIXn7D785Ore9
ftsuOGSQHJ1a7c9DPDWzLBErqmb9RzPndj+mtbrRVr26WqkC8dktcvtF55p8/HjtnM/sNjQelKx4
ZE7/FoH/qXnGpspzNWRLpPkcoWU9rZGR0xX4eJTzLZ9R/H9TX7kt0k1+O7NpkfbGWM1LlPU6LXf8
2W7Nji6xP6hLd9L3hsKbBuInHCjCI0+Wpu6RIsFFY4mM1rQCTcp+v3qZG/axd6lCPrt48Nq4b7Mg
EZazQLev5D9zh3FHQ82TIyrQy/wHWsKkpX3rCBniM0XaTdyp+EF3J/vnnMq5DLVkbC74l51/iNx3
YERBIGJ6oYm8/QljT1bhgp1ytKToXg7GjKH2z1IDr3Yre1wfFjqX3QX963tLxvv/rQaVNvTXt2Oa
Y2aME52wyLPABbUJsSMBG+6nP3mIKPi7IyfGdP0MyliB/OKpZBSBAmTfND09+3J8/nhdntm/UYDA
s6aq204CC4nf22dx6X/X+FbMUeqmCLNrMbCLxfa6qHtQWmsKKnPUv2DPsupsrFoZB6vj4HVXuokY
DjoNoP4Ylz1s0rRplzEYZZ8We/QAen7JqINfcrpHEGYPSEDgEB5/J+taiayzkK7MEQt5eUp1Z/hb
NnN2YdbfWdJ8pWwGsBUhAJ8WgUTxFU5KSh+GTnbtPLCkEycsNFllOxyzneyqs9T6ezHwhTgQRzJo
YWN78aXr0TsrDDaYzT5sgR+wYbx9K3reSXek1UhdX3uHwtG6G2xL+wvF4fmxuSU8YybEtcXiznJy
qCSkeRJvksmIeqMaeLFapoeyLw0/SDvcPO7SWIj8DrZGsX66gsMJzeQZuf5Rf54K9IsY5tMaFzJy
/X68AX1/9POq//x3SnUDlGVtV0xwx7ezWJtGsiw5z1cOK8b+qV7tO8HO+/EndL7f4iLL4cwWuGGb
ZyiBhCWSNCtq1JFicIe4zM0DF89/e+8SPf9Zp1wMuiAHg31sHOuNvPv2oSyyrGVBDEWk13ONY1vJ
nSFbDes6RgB7yefs7FxmMJjwXMNYIhiInMxgUcfE3iamG+Wd1/6T0W+pj9M4eOJKm9nsd8juhPs0
NnrxYmKaZ4YpLvllWJGk0NKotYsfKWR9YMQ1SasHjgO3/bLORftNGFY/hl1VpE9kOfkyWGGCdMgE
x7kdb4yxKOow4z77Y1ZL5u3oRVR/6IOXVVT6ZflqpjYt2YUEBbHDFAt1i22uSxP1WK3YsDq0IvtK
A8kiEYMmaH3oHekn3xXitr+WGkvjN0mAVRlN9ZrMj0btcd53CL0nEj9FZj0pUjO7m4lbBlQqg/J1
P6l4GENLp5cQzNKdL+XJnH2KTLRFPb6FeG/Iy8mnWE3TkuaZaUdi1L7hw2mxnc5HUbRIG0tiXd22
v7DRnS1bRmQnBXrh9W4q+rfryM5sT81j50R01lf9MLgFRuIJyrAsNFUyf7rMgmVOiYiJNMxUk8/y
7XCZtfTlCrEpKm0PA4cWGstYxb8//hTPigEGoYok6IWtezs13w7CwTCmM5nZkSBfMpxqfcjoNxvj
rVWk3RetKpwL3/7ZPs2A1jaN3NX4Fk+9o/Bv8Fsvnbkh+sRIWDGEEzy5jQuv6t1RkL6ggdlaNtbJ
q1rSwkdw6WuRNxfzFwkn8tu6JJeUV++NgtcAdtXgtzYQzNvJo8OdNibK6Cg1je4q12oVQGC51F44
X3ZohThwyHveiu1T/1HDTxbWW2pH6MmNvaDNGpZ6DSHAMi8db+cPpGMYu4FJgDrQlE+WnAslgY/f
sKNebo1Bidwvx7j3wkl2/kAgY0ClXAS5ep71Lzazz8QYlRdZsczKr5pfELtm63lb/MFYx3r6eIWf
PxObv803a3MAcNqcLIWZpsYi+86LNrP0V8i82UtZrJcsV94dhRu1aZouf06dJ+upG9o2Xrxo0r3p
pZvT6UYXmXz5+Fn+/ebfVHSAAkDobMk4+hKteLLpEXGrWajv/QjYFzkhWvsxO6xIs7oQOaJpXrvm
6v0dpV78LxbdnB/TRBt/1RnCswNsH6VDSy5j/fDxz3rnhSIE2AwxN4th/rz9DpaqTLwursgALPTU
+SIXNQ9XlV0V6tsKc+rvx6O9M9Uws/GWYlsEIjnTxQzJ3HaLZDQns0O+F/vg4HOz+3iU954JFQxR
dgDuqMC2v//PRW1Kp0Yr4sGPFpJ4oUTmWiRxNYDoOo3Bx0Odn2QEboBJIT8gyZtr6NuhtnoBOgov
1bby6uhRgAUKv5TrrNfqQCS29tfMLn6E78yiBcgEvoTpzCYQeDto05aNhiArjiaopmGrlVWoTcsl
89Lz44UIrC30DbIOJiWnPPoUDuKom3EcpUiY75ssK35jz45B9owfYgf+c+E4e2cqKSc3/2+dtgJa
sLdP1S4ytmzsQqIxmfxAaNhPaImTf9XAHHe+3hs3zTL3l2IP35tLfBcJvybFAgHdyQvU7GFO4yWP
o7rkpPa8RTv6hrok+nl3FJTyOEi5tNZOPWdXfEEsax3iyFTlbzxlln3aeZ++QpPJTC4Khw1HAA2Z
7Uf8Z9lXWu8W1OYimqVn7JRliENZOsWFKvmdj4sKCl/4TXCLbvlkwtIOvTKHmoikZWRhb9jVoXIU
ek5V//r0t/VmpJMTTbMxCUliRvJbzMxcHC1uEs3mE54ar4JsNpBXWsZi2H887LsPyIrHZxQ8AsDz
7TQaNWmzqc40lnMW/wIs0IdwmfpOhc7S9T8/PRiSM1JathYkjeSTMoQqmGg74PjIogT5YpKDFuj1
Wu2mQbMvYEfvrEH6PFQWYGXs9qfKPZWZCuaQG0eZ7GNsYTo8FaTzWR9/zlGAb1AWDlOUgqeIQuYT
gzVIS0SY18OZ1XIY6M4krz49bT5PgqM75dUGZ759R6MoGidZs+Q6NodyS8r191XTm7cNDYsvHw91
vg3CNmCP5QKBWp91/3aoacpmSLRqjSaZ/s+S8V8/N5+U1hBuUhbHj8c6X3qMRabD5gerbVSKt2MZ
HeleybysEQo+k2Y0nvF4w3vYHvnL7uOhzlcDQ20O2Fyr0UmfdjnXzMm8wjZAEktnCXu4gLtMjZ91
x/y3a6WBLmEBAEB72mJP2obKal2sqBL6uGvc9PeofAf+o2wuHMTnzwOqAyTq8j/QsjPfsqVBtKJz
N8GORn0heK+4LvxBXsBYzl8Q5zwdOK4mIEi4G7x9QYUbZyl5aEYUj6l1aAfyY33l1UGpq0tJsu88
ELlryHl5QfS83e3v/7Ob09iu3aqXZoSFxGZd40EgloX76XoeDeCm5GXqqCbckztk6cwzmZaOExG5
Cutp8n6mpXOncmu+sKuePw61L9cgtNCo5ugFv30cLJ2U2bi5Gw2p/s9oJ9mVVUjrQjF7XkIwyPYY
qAwp5U/7VHGy4CbTDm6Eu049B2YrEEAVjnrlmiwgeWOFgoUIHM/P2gBu1utEr9JKR3rIreikdllG
oRd9DxVB9kN3lbrTkza18YWnO59CGFZU6IB8YAqQoN5OYeyVWBq0I6VKy52hlzIORKdNF/agd0bh
wrqZ9MJtd4HW3o7CzpRWwEtxZK12vZvtpg6TAQnFx9sPMAX/nbfXoU3UzRYOyRok0Tj5lDQEQV3a
ZnFUjtL1dyKfXf1qmPX0FxYE40vSSetPbTWaOJjpuGm/ce3vvC3JzF+hmtiw00O3mI3yzsgAjp76
shXz161ZLw5xHk/mnUHHt94XblnHj1xWPWe/aLE+HhLMoATKI82c7mDjtfbBoweWoqCsANV0o0Fg
kdTFsNygWVvWIxY3E9pDv/KLvWoT19ppY2/DT8+aabjGq7PUb+3VHp0yyJt2KPbIB6f1OGFPo66c
WS/jPQmVlvXNEmJ5yZa+spHrYSH32GIYZ13VpkiXndvHMMO11axKuZvk7KirUumlHZkS0CW0h6qn
tbWm3fC0EiZtotrqhn/6Sg79XdPk9AyNfky+LQKX7N2sxSp5GBeThIMK4Wm/U+zECskC7OGd2/X2
V777NrlyTGEA+2NXFhbUlNa+dlESPEjXqB8Hgye+SxbDLA4OFtHd1eRaatn7WSmxFDJKy49mC6Oz
fIdvfrkGTS0whtLzFY8htxqnb3M2r//L2xGfKKGm0g7nXLfLJ2nS5CFQ1FzQzUnHgZxYwrkh1Qpr
V0mop8lBxMkFLdPNFOGMyMHmDkEaXm3VI0LF1L9LkbtWdCN0Ie+BLlP3z9oJrfw5tFKmN/qIE+jR
IrlK+264Cu3XSFyduF4Nx+0CVMMoy9CX2nl6WJZskVd0fLvrDnz01R6aIb+uOxtTQcSGooIVaklv
p8ZFnw55TXYJLnt9KY+6NaFVqTpaJ9e5TdLstdtAY97Z+CN1YTPJUVxZGa4NuxSObn3MS4q9a2Ho
khPQ4rXccvVe/06rPRn3rtQRxQl4oz97ze498AHb6a9U29fj3q2HBJsqI29nDEZM9ZjFseOFEOHT
7N6aARxubTXo0zU1+ZQfnRyXrF0K1xQ/rIWgVBt5osTOYG2tGnPDVcgW/7uuGG5kJYs4XCtrxDei
MVQV9lMskmAazFzupJPbSJ5sMc6B6gZsmVqHHNvNH2sqr4dYzDLI2sLsr8wefvKuwFZ52HOmlCtr
pdW6kKJ9RD8iyI6dn1xf8noTuEgyXDPPkzd+76zmYdJUYuEMOC3jfknnZD42iY2+KKj9wZi/+DSE
CCdaYk3sMf5u3e8xYafDrT8X3vd0zLVnrAZ9P8ziNq1vkxl/hUAr8SsNRhOVYFionvW0+SZWoefM
Ig5UglAnnJtU70LBrS0GBHZkHmagIWvolMhkKFasTAYQZ32CGgFlHupV5M+G3opnA1+U/EtCmJj+
rV9UJb/orBfMpQlhX6+drpBuUBfdUP1Aiz5MuxkyuNhZSwmtvXMSb5pQF9vl2oeSuOcmyCqDfOvU
XLzvthsvzTGTVmciyqLj/WtMifdEV4BksQc3XKynckzL/012q7fHuTfXEiWBNr9Ay8+Lp9WFZf7g
oplZrgZAj/4rJl+8/2zwm5dOzIm+QzfnI6vQF/KIO1IOHvKR5NyDj23gz8Fey/hOJz0y3ed8x/LX
OusLwWw1n/vNjGcsum6EscPtNK4TEgf4ek2I7qWcj1tKqbMfB1tfAr4SphCtWur/YBuOiyOKzKkP
xi0w8mp1Y2u8ilPXHw5+SbZ82LkElf9DZ6P1wnGZEgN/ToUpqlh8HRtGgEB1644E+j5mnYMEslmX
3nh0xJKo45TM2nIwC2N4VbE7Lg8JYrNun2lt2e5mXiWR692q9/tqbpW8z4okRnrbC9KpcSkbB408
kUlYu2kRNc6Udt9Ytxy1MXKuirbkIbWXQl4TpWC1N6UcxiWqMJkTD/7UFlbQp4tr3BbTgsxrMH05
RJ6KjfWWots2f8eGLV9Kac7mk911vvutaD1Rv8ZgmtqzXqZTEZWTlg1BqqStjpVRD/e5wqrg4OQI
xb8R9DbYXTh2qy12TjyvC2e+jNHqs0zwtcQh1UOEh9NMu9MQzVUodrxebLZtU3KoW5yJD1UXF0so
BzEa9wSbKHXwlrZtwrFNVhaWQsN79NrJIe+yXAfnOzvW2PxS2HYJN2y0skZ918b1fKArNn51xWqt
4dR6sXs9CNoFbA+JSiM+cP3RUU6j7SfZj8aV3xPC/BMtXdkf0hwM8kBXodTNYClEkn7JVjx2EXy0
dkmjyRLqIG1u2lgqcunHaC9RP1Ibu4AhMNZYFDu7Z99ES1M33YNP/3a4dtgJH9BdtfUvTfZJvEON
x8U2o474S/uKa9NYeKq5ghDWkTc2ZjArkZ7W9h8rS2i+4b/R9LuSvZmWKc4O9sA8K7P8y+nTzXe+
8IQfrH1FoISocj0LMZ0dxc2Q5w7/8kp/ZW832DsG2O6OcUD/zwYUIZSSEtMWyg39ZjW+tnbV4284
NIgdlfLc+0QbnDxaXZXne1VaAnP2ShvavcbZqR0df6WuyRuNUO2Et7REyHhNO+Rf8sovAv+v9eBJ
IM2d06U+wXUqbfmSpD4drXwRL31GMMYXdy10LVgzZX4fk2TMHnPhdXyWCmMWdjPRmcPPTuBtlwas
kXp+VrNw/WcfRjtqOrqH5t4re5oV2MjjKYitq9McFarnV8KgLOSF/MiY4z51TTIbE0GQ+LqKLeOr
LuU3vB4h4LD/qlscsiwtWts8E7sRFeXwJ1uyhnDsfq5/ohGMseWChvVLIgD8taDfUnuVbyShxZ0M
9uMEdRxyWKMvDhl24X/IF83k3kBklj/ZqZ/Vt1VSdQbF4dwaTVAuKJV22+WPbIl6bbKXXOZF/1Jj
EYts3Jjhokt8abAHWMzlC71G8sDrVSrxvDoGqqMg5Rz7ZkPI7Z4kF/5uV9GjzZGO9ut94aZjuZ+K
dWjulnlOpjtXaLO8Qtar3cLuJr0tdce8ZJpF/zRok0WHOEcWd2yGIXZDD2aBFqJdRyxFdckvwkSh
fkwwFG0eNWKUnaNnSfs3FuastmlI6/QhThtJYpvAq+sWKGxWN1THqr9qYyOT96WX93WIb/bqHmNt
0qdfLg6NXyq1ebESl+Qsx0bp2fzFnMfqH2/wBj3qrVF/EbNvTb/9OO6MfU28y/rs8Y+6YOnzZH1d
K4H1Bfnl2bGjOI10XE7sECmGvVC75eyV7dRO8jBWCmb+YDSAJEE3tj3ZP62HE+y1iXEt5IoO2VeI
HinmsDXjJtsPmjC/Jh744kGS1A51QHUWITcYj3puUAkLhfNkeTlbti+aMTS9ZEx/mOnimc9eao/t
yzCyGFC0bGlGNv9c7JJh8zwJ4LjM1a3Tl1WLeWZegU2yWO3HxJpc/b5hwXVfvaQ1pn0X18I61uz2
0DCc1T5wKzSx3CiQANzUFaJtMmysbL4prL7wbpHSzc3Vprdr/5ZOF5f7YfSEw3ouURLPboVXd4l1
7HhEnAr1kuQHWQbDZBj1AWavazwYohPxvs7SGEdMLES16bbFB00rAqklFWYuMsnEP6UXF+OhGqWi
OSSQEB9yyOAWdtKZ4utJtM3BkxYTDlgdW1oTylzG91PbWc9JN6AItftMDnfk3tZOlAhSf8NEE9Ur
tnQsuLL3G+0Qx0iGgxnee3Nc2niSD2WauBX+ryB6iFdmaygfbVeiGw1GR26O7zXU7Vu/Knr1uNrO
yHIT0phfK63GOTVH95uGcZIrP0CIWmhB07gEc6Uchc6WG5r8bJclrkPqNujDsfLT3WKyDQWrPlJ2
cbg5lyJzNnz27cXSB9Dn+srdkvvyae89rqvcrmLfB4E0k2PmYxUsR8e8W02safAGeWy6FDMXUa0D
dsrWZ2NuaJWgjgNTAUzZ1B4nQEcyjnPTmn0cQRmpgsYT2T1MeyLzSEu///gS/S/2ePKo+BvRMKHD
jGPUqX2o8PLF7YQfRz1uzXkgPTn+ShA6PjcI1t1gNNriZ1Okagkqzpgnv0g0P1SFyH5//EPemXIw
MR0MybG3htvJM+PbqjUQA0WEnXITSLfoDrz08YCgpz9gJzBFflqR/ZAN6Q5F9NPHo2//9ZNZgJ0M
BINbHAl1p3JBrL07DtYyueYLU91h7JWLEpmS5lXhnYt6qUKicgm/OB2T6wyc6E3RAEPhjJOviUVa
7LtxhLcCNz437g7KG617a8XsZNT09QIqs2E7b56R8UDWISWRWKjBveDv/4sGcv3na2dV1RmdCd1u
rd9jyYaaSznsiK2L7yjQ5x+5M15Sn51BntvInk5nf7MYBAF/O3JOBNcAYAJOkzdFWKRifcDcAbNy
rN1+fPwiz+C7bSh6FLRRaQTSkHs71EDPeKkXOoAwMtfv+FRUh7l3ukOFkdAxHbm+QRDDH+fjUd+b
Wt4gjVRgd5oJJ4u3p1T6P87Oqzduo23Dv4gAeznlFomUXGJbtpITwokT9jLs5K//rtF34uUultCL
IEEAA56d4ZSn3KV3Z9pMsZb/KDz6S1kyP2nD8I9Rk8xCHvdzG4mY+6PeWFaIrVTE8XNCjHJbZusG
tVDIrJRAOL126qOGOLBwZj9CHvV/GYoeEnVRqaW4bRdPGaz2xpqUwGki94RKU+8viA5QT4j3JDav
inoOaFLKyZ4KYoPrd1M8tBXHLBRlQINejCi0j/gbGKta7RyGW6NQTKYyDsWHOtBmnyi1WlYcE74Y
JZFjBc36ABZpr6NwYzdKI0jQafgiS3+cy92I4lc26y4OvmmlZC89RNYvMytphK2Jd6wyTS4lGVSq
9cf7O+PGfpQ0FZomLjgeLrXLcbW1WQHxxVmoYv4Gp04UYTbMqAxZJgKYVZ+d4lmbvuRJL3bO3/We
pLYscT0Y2VBi3nYIwS3Y7UIdJES4fT60eTK/DOTeBwpGeyCvazQMZ5yOkG0BwDLk1XY5y0hZYO/O
eRUawsMWFQvTfP4Zz12cfszVtqfq2veaFSbg3K1HjVrxt4WEpzsLN+pRsbENVFTYiGr//f7q31gD
3eFgsqs4mQBiLn+XbchOFcLpYauigkxXa4z9jlYkeS5h4/n+YNdbjIsOtAMdK4l7uDou3WSo9NPz
cJ0MhJG6sfX8Aa2fpxnKP6JEhpqUH5usjJadPXZ9gnQqnZDl6NCC2tvu7YR0uW2xTQyrRihS04a8
gKjl3RcPo3iULHUawvDx5PR/e7SMPENiyM2KEOkQ5SWv0uhkLOuAq0i0d/FcHxqJ4+PQm5KCzvm5
HKrDPBhyJkVJq27UMKsy86FBiYkbYhXoYaVwkAsYqpQw3n0XMTAlQgzJ6DqxkzcDF3oHy7YsQj1T
hhMqbpPfFEv03r6jwyjQzYGTEnbgL345ijNaSNkgwBUioWL/MkqY/K6xitfIHfr3gjzfhkKCQRK+
iGD1y6FU8hYOLkNFXqsT1NBpcN381/2NL1flMpzhYkUI1EWRA3nuLeTORWGtbd2Vz5UX7mdUhPX1
CHCBsnCeA8lt3NraE5W4teVJBgDHgFvhYpV//ttm7DrN7papKMJyXss/p6FYn5wMyaj3Twwch+xB
0sL3ttESDS1N1FVahM2oOmfsdkh9loX/dETe5pir7x+PPQEakyoW4KLtQV5at3HLNCnDNMXFcF2L
7x29Tr/Px8DTsv/uT+7GIQNwprLXeRSl1/TlElqDPfSISrI13GPpzPVDbRZf9YQ0pzH06DS6zUJV
TezcIjc+HKBtgK20n6ADGJuXYvHivsrRFAtzpXRfm5HLkF0574WB1xe/zNngBsGGAemxjbCF1mW5
VAEMjRwO7Egt/5xURv7UOesuoVc+IpvtT4xMTOFKDIu7JVGsK2UddYmaUCAitfolSh29r1poq1Ph
d3DimWgzfFPbovsMBrP9OYlmnAM1inEl4ebOuiMUkOVrlSOq56dT7BmPy+AZxVObd4b+6Fqrgn8S
UadyxGSlHE5O2ufTcVhpK4S8o40UCeeInXMSaMf1VXSU1wdeI2nlPQ59/3fien2GwgYf5JCDFVlO
1BUQdc0NUcdhXfWxc6A9WGJRmGrJcoKWT56NkjESmVTTo/xRAXmiHSyYvS4Yz5WAAim1tn6CCFzv
5ME3dojH7aCScCM9goTF5b6M3M5kj2RVaNGneUUZc/4DS6Y9t9K3bHrz1ejv03eXiCP4+vJ4/HaD
aOw8txj6KkSlzWie4K+73g8seejO5iuldl/VEeUNaQjSpusTMfXPemrE5RFFmSU91vZo/Itmazs9
uFHbCOqzy5yc1rgp/1Zg0lqByID0/9mPatIfBgqwcXD//N7Y4gjqwN6RrwgAt835LdHojai9VaGi
5MprwR4cwbSp2mmxFevdtH9IfKRVoFP4F3fEzZOFYZu9aGSrIQaMw2M/Z/EpdYzmTEdM2ZnX9ffn
OkIghdyNtBEU3eWHcTq0rgwKcdwQq22cEC4ZDOS6yik531/A62eLyhLVHQYjQb2CeTiZl2luylW0
Ehf3h6YoMGpJDcPPI+zIqH3SwLg/4vUn43onHieweXsqN+FojYRmmy92EdacswMKZjXHjkYaduHa
4f5Q17e7hGYDPwP4AXZvu4qIJ5dtZC5lqImyPerLh6qpDhhKURyU5WSsSEspkxvtXO+31tSTvDgV
kBMxqVyB305VgSNRjF1GGcZpnvnJ6B5TuzAPmjB/jNzzO+/lja2iA79HitwhgbzSRKokorhK3TIk
VEiOZWckT2ZSvJv2QfHRtuUQRNkQdDYHbUWsTkOfrwkREsFjTafaCrwFZWE+585XuzEhqQ0kIejw
8si+L5dvGGMkwpWhCcdynj/juxY/Rjk+JPf3xo2PBP6Rvx04Gh7XW2CVi9YR9LKyCbvm3Gsji1Zl
k2/OtHUMZWdD3JgRr7zqSJyThNltsoY5IVSrkaEMY6pBZwHe4pwsxfL1/oyuUy9JnSLlYtkIoLZs
jMngXY0ym3VbyHAJ7XNaWVoB982qcfOb1ak55HhyrTsreeNAQ/znHQQ+CKNli4PrHDFU6Co3YVu0
6nkGFuxbpeIdMRV4N+icpwraEWgWmV2CcL/cGkamxoPbRXWYZNN6bCzRHzMx7gUzNybEuSXgJZmk
CLutvq4JcIu11Ztw7cEglbFwv5YA6B+MIbPfnQXx8Gqg+0jM4QNtvdZHBKrxHmlEiOh7dyKi8Q6l
yMzDomEfen973NiESHtRBECGDuWQbc1MYqiHbKxFaCD5aYJw9xTvtBhi2Ksy3RqIx1FKDeHKgQbK
5Uea53TMEPQXIS6nGVIXEzQxRdnLxG+N4oFi5t2CAQ8U93KUoljM0evRVkQpWf2UKKvuonsKpG1n
2a7vCfiBkCzBJ8o7acvvqbsSYeNZH0IvymLn0ZgXlNBTtY+n06J4KE+miyP2wprryRH08YIgdYfm
FWnX5eSwqKW7utRD2HVeEY7ECjR66jrNd8KM650uLasw9CEDB9q+Pbqt27ddOatDiGC8OFOkH3w4
Zd0B8vhedfjWlIiPbcfjH3AR8qf89ih2uj1QCbcHQA5Jdh4NfUZrRdnjvtyckC3fe8giPFSbhYON
5gB/jMew0Kbyg+KANECR2TKQX1Pgdt8/UdcXLjmcJa2XkMxDiWdzG42GlXUtYKJwtLsqP07x5Dln
o1NIHiynGNKQ8rvuPSxFGX9+/8hkBjDv6QbySMpN+9tirqaNDY1YlcdcGJV9qNBnrh7M2gPHsixg
nZ7bHq/Do27PY3W+P/R1TCXLKGw4mgsovWxVHDSzT1w3zdsA4YnWdypjfdESC6HpVY0fVxr0n1vb
aA/g/aKd5b7eQbycJi15wDPQ4LYsltYQnZjLvAsGRZgPWdPxsunpHu75+ryzptxc8kmTOfrmXpln
relBdnZBrqZfx6zEm7lsXt2k/te2uujx/mJeb1cYJRKEKn3qqR1tBtNSEziTaqMK1KZI06/xcs7J
K1Dx0PZw/m9ks8tcT44lcfHUE2FsbfZMnOpVZJoJEj0i7pyjSMCEHFFNH9Tj3KRmLqGeYAYkpGc9
YjaqPtOAGIev0uMSi1sghFrvm8lsRPjDzn2PwDzQunOqTDRIx9iQ/rCTGMFlZU788/46vV142x8P
foCCMikKtezNuZ5iPZs00TRBV2RrAta0LY3PpoGAwqkoKrdJfcrtRXKY5rpwwgjmZ3YoOmPsjqmY
c2DV2UjgvTZLN54x6IvjU95TNSn8OS4196lRW8Ns/ihRZtd/mAlIhweldbO/Lb7O6ucJtyfyjmTg
x6xINM0H6ZRZHwFCYFU6Uc0u/tAxYhmPMdxeJMXAu2UY48RF83p/HW7tF4J8iw+p0mPbuih1Y6UC
LjFzmGrAXNSl+EG0YPlO07w/BnJk/Q1fQ6J+ilSbRxxN6dSYADgHoyze9JM5PmCiPWH7Gq+n+5O6
PtcO6gXIpSFMyNy2NXXReR5vW1QFNQ/xB9BB5bHQneLdtwchnWzpI2xHvrQlXpOsdI3j4i0+zGpx
RHcxetSbUtupnd/4QFBY6dpTviR92YqylQrgKisZRCCspHhtNX3Njuiq5g+WXtfFTuB9Y+HoSMou
i2xIoC52+QqMq1YZi5YIZB3dVwmhDEZe+Z2vc30fwniSbwwpBb3dbZ0eFHltgTppA7Rjp0dEPtcV
GfuuTwM1zs1fka0MYofWd72ISD/zuBAVExlfEe5gSCKU3vDEJEWWfJtbc0ICWvEGzOqJLKedT3Zj
gvJVQbMDqUAyws1ONyYhiB2lEhyoktHPLVu04AZxGDhj7ZmYYM8XWtn39/ytKbq0yAF5EBRdkax1
ZfFEj3VT0FRN8xnixvilqF3xnOFvsxMrXO8SSHW8MfBeqHBzbVzuksIsG7xv1j4wMYPX/LbMXShy
bbvk5/tzuh4IF0WI1QArUKO6ggkpGiZvJf7EcB56zZ+NHPRpbLybww1/m+CO4hFRCHWPzUvgljEF
ZsvsA+yUfsaWeNDK+ePU9PBtBvX9hXoZFxOEU/EgdN1eGgJLaNVKlB4uWV+8DmCrT2CDp53E/Xoz
MApNahryyDhSY7z8Qug7AUlVxRBM1Vw9oYfm+G5szxKSuJer3/hGFEqZE3E4p3nbpXJUjLGoE0zB
1OTKAXgGRvYSjP/unUAXnAsd4AT1iC14alYqeh8m9X30zrAVwiv0k6Kt607wdDUX2c6TlxMCIfIT
bZYtg8rkjAng9RrPjI+9mie+1tXuzmV0dT1ATOXQABOiTSEJppcfxyxSL9WHaQpyw6F+MmjqCQ8+
HH6UIn2YzFj376/dzfHQXSCloANmbONrVUXUy0AtJsCez/tChX061dPc/Br1JH9QtAjWzP0BrwJ6
Joi1oCSsyQDR2dx/rVLg4OEZU2CJxTylcfI4r+nrPGkPpKCftEh/XktzL7y4PSgnS2crysEvVxU/
BqE2q823U9VXz1kPNBhbv2swTUqStPKdvvs0lXseypqcy0UYKedK0YDsAfQQkcDlsJgKZp3e1nPQ
xoD3R009riPYzq7U86eoV5QvmAaN3+aqSkF2lq35xRam+WuOrJf7a36VOfI7yBr/v8IvzRQuf0eR
LQJstj0HcWXaCOwOovxDob0cH/pIqyTFqVL+gJZL9nF/4Fu7C3GPN2I+RUJnc2a0eaA8pHtzMAzj
glOd/bcAfNsiqe/3dfzX/cGu7jVm6RE7UnPi/iRxu5wlNXd7GlKkHRPK8J8GnFfA9Sv2axRZv949
ErkoACoYq9w7W/3YKeoRel9R/pzxNQnxmoLKNmhFMI+6fbo/1PWtw0gopPD2IJRM/elyUitysUWT
Q573ALb/cAYn/5m3wtq5QW8sHV1USnJc0VJBeLN0iaZnYqkyNcAuNftcNYXzVJZK9Fkfu3InPrge
SifzBGsLRZY+2rbaSeJZGFWnzoGbOdMpi9rpOOswjJK0fjdjmuLtm4AN+QQP+DaLozytOTP8oaAe
xfjVKaLxB6FeuhPQXR8uHlO+EbUZdAkpuF9+oWZS01Tk8RJoq1gOunCzlziVsm+joZy1IQXFDQRq
5zG6tYpgPblIwbJSyN2EJfD53GU2yyVIY8CPHkyk7yOr7it1vL68dwfSEUR4UXb0wTttiz9xvrSd
BgcuSGmBPxY9mFksOObj/VFuTsglWCBmRIR2K6urDW9iPdoSIP/8bUH+7wSqDdIrTjo7I12fKBCP
qKQCTyPO5ma+/F6pXjhOshhLkM/tijOdF/lGDyvs/nyubz4+Deg8LCGI8a9Avyu2GbPtVWtAy/tr
3TdBT+fTrxbxX4OW4f8yGEdXon6Z1pbX3hZa7UYQ0wJvcBfELpzV+WYCAYbvBFc09Aj29J1Ows35
8ZTKWMWV+vSXqyjZlHY1Tmswu1D8Do3dzgehQnURnt4B5aqWnTlebxBTo5kFZJyPxnibAbGZcZcF
tEfgRlUbaOiEnwfPw5Sv9ZYdANfNocCIAaxCzZJi/+Xcpg5/YnddrEDS+B/IXP7DaHM+cUO1O5O6
3otMCrUXR3IeZBPjcqSuXqLIFcg46o6SntNqMNFuosJ6fy/emI+ED8g6Aa06tI0uR0mXatQGs3ZJ
cHEFG8tW+WmW8I4wgrV+3B/qeluwaGR/4I1cumZbbaO8GDqrrFC3a0wLLNpQQhwvDCM+abiq4dzq
KS/3B7yxgohGSFMXBNFoOW8ijNZY8e6htRasSuZ8iFcwDP1qTju7/dYoLpcGt7vz9r0uV9BqoRZi
suYERu9W3LJeVf2l5nmxc6vfGIZiqdx0cu3oq14Ok7ZuTjRqusFSpPFJGQpcXuhFv3/TyYtWiq5R
MQIdcTlKVnk9Dq95FGgp5vV5KbzTQAi3s+luzIX7VfqMUEBnnM2HqSstkZ6RLqnfkvyyytX9pOZx
vnNUb4/C5ta593g2NgdIZEmr9VbuYhG+9B+covaOMTrYO5//xgGSIQT4ERJnymyb1zaes96Bk+kG
KgJqyOEJ7QOCpJj/zvmesOvbQ3eZM1Be4xmk7KASXG5lhewqa5S4RBhCIxOKu2fEL/1eOEBIwGsP
rva9cCBFl76Kd/SY1UfW5YDeAyZYGQKcy9cE90dl+b6439SlO5TJh16B/2GX3xLlRySyR8fD2FEY
81+t8uv+Ubw++wSO8tKkgkD6un2FBifOBpwVIr4FSEqjaNJwavT4YDQmWuDRuOepcP3tGY+99VZN
4/hvAi/SVGVcMhhEteHO2L9U9ZHO1B6oR+7Ty+8ByJ7CIHUFKmiUjC9PC0ZqPfSdFanArhkDIjI6
Dim8dh+ms/cZ7FkeGn0rnjGMrH6QZU07anE3VpWROayUXiU7a7PDgb3WNlYAcUh3IQnQ18DIG2vS
I/FaypOU7en8XlPiqFpb7D8YG7JxsxWMVrtUd9CEi8PcTZb5P83Frvs5rkDFHiyMSIeHXCIWHlde
GuW4wNT8ZVmlBLYkZuGe3r2lgIXLOjDZI2//ZvLpkMGxroskxC1YPY7mpIdapsAaQWkWn1DveH+4
61CeEEp2Gum/03jeQglaFPLo3CRtAOc+PfVaawbzPOlPnsjEI8DQ7NG11+n7/UGvPzB65lDvSFZo
gFAWvtxgmHA6WW97fYBDb8uxTxEjhojopE6AxRBKdnm9dnuNa27iq31NDmZIjoxErF1ZEUaJ1Eam
ixrE3eAqhxSx7PHQtt3Und7ICM/jWK8vrmYI51BOqsheV68f7JMNT/BTP1K3Rg1KxVu3SjBayLmP
kigvuYGAuVC8auAe5ykq1QeodqX1kq5NVPtDTMDzUdNHo/XtAd5QILrBzP9ol6JWXiuF1gW97Nka
pD99jUNVWWXtcbLSof6nmIfYoRmQdDEZXTOU9TGJYNV+XXTFSnARVqjHOkU3lid1cpMB22WUuM8W
7KkXZerd9tVKkzw/4UTgeCdbDKr7YM9SyQM5gfZXC303PYsYwuJTHo1jxs90YJKpo+dA94pmHbdS
Q/sBHQQ7URRvhi9pPg0DRp51h6v0mBVafgDfs9YPetqr6p+KqU3Ko9asa4ekqdKM33WTTDH3o7jw
1FPTRbn2I5s8d/6YCPKIX1ie58gHlPEy5/9NRtQmz3qHUsxTvA7IohZa0U4HPbWR6UjHIv6e5Vmi
PeTlWiYHtxDAk6jk2Ln6lKi1S8d0zpZsZuwcBSfnNLtFapyd3HGaYBidOfmaq3UcJxgJuzmeBdgG
t5DJCZ58sHfa9MnzCp2j4M25OMxjCoOwpZqrP3hZ4ziPTDsfDkavps3naO1zXcqMVt2PQRSKhxSF
vjaP+AVF/wqlX8sfUPbjf200SfD6Q8E9/tA0mhs1B6OK4HpPXQGxvxhqtCw6ClVIQw11J/wxHSz1
FNEMxrS97g0TRZROVV86gtz+G3CSWPu6UFtOv4AW7sfAsJYOYSXEriPk4GskYJKsdIZTCjZUfB6L
fPxrNdCQ/sAbNnqHBFWg+JiphbfS0J3QusJOOmqPQ4EYx6mzqix9wIh2mJ8WtAksdB+qpTnzqdlj
hs7d92isdWsf23y2kzB3snw6q6y946fwxp2/aGV78b9i1obsqE2WJ6C3FC0c0Eot60+iS5P6uLqT
KB9F43T5s5qo+p9pktn5x1bHuzyo+1nAHukSnOqHBHHkjyIR8PaRiyn6Qx0p2pfRXNz2Oc1QHjkU
kz5aH3U+O23AHjWGZ0fP7A/oQ+HKLjC57Z5jep/aGQnB0fmyQMNLXtI6KotPqQfI5Qg2SPSvIl7K
jyiwI1ZSslD9Q+1osRImYwbXG1UVW/teua37V47cCJrKJRJnHxUVmMQ5oTGyPOStvaCporuRrvpV
ZpTTyTB5PbVgwHjXeGmHNkm/TZayaJ+sqEGENIcFiEdxg1Bfqvh4Ii06Xr1Y0Zxnb6YlTllKROHs
IBp1WFO0sj/UyiR+pNSoIsOPjDL70ORa9zxP9YhAeImH9YPT9oal+C5Uv1da+dFcwyEpvLHwkSzj
yjuir5TEX0jA4hSP7DRvvKMZK0537nAf7mrp6KswayXOo7MBykz9uBTczn4UlUMULNTGf4CWd1Nk
qTzrO4E2Kv8AHid0h5JRtw/wjBXqnIlwveNMvVIcZwUpLbRQynbhOObDjC2KV6PI5iy4hGn4QmOY
7lqY0fdicgIXG2vvaVKT5l8jYZs/5aiP1T8FJTw3UAzcil+tJc9+6YmZZq/wfqL2qdPm8R8YcS6+
4ghHef6kNqp7UNx4NI+rFS/uw8ijr4TpjI3RR9WbYyNIBN/2izXid/CgZIZT+pUWi+RHPFtU5vA/
bOdjiyaGQCjH6M1Azd3IAGrnVOUHlQdzwQtkslZILH2KJmpS99NhauJmPTrD7JqfkjWd/gFDOf4Y
p75TP46lm7tIsSHR6FdptYz/3X9Sb8QwqN/L0jKbFtDQFnwoMrZ5Uq8GrPlMPcHHmo/KalYf8AZK
AgN11Qc0pEz8hcb2w2gKpF9cJNru/4g3ac7LyBE6hQWmnsuFWtA2kgdF14o6MY0g72N89OY1zssT
8QzcqWnEf3vhc9pPYuig/0wlGdQ3QxNO810rleUzl1EljlW6Dkh8GGs7Wb4SaTlu9UJ3qiw5Yade
GI7PwayG0HW7ARkJkDDdLz3nrE5z5Q7nqOtG5QSSZsaoHvKWeWYHeN8XYbQ86k4GmMufh66vD82A
dNu5hdWgVyhb0UdrfX02p6X07Xh0/iknLVo/mbTmp50Q7yrmAkxAsiNL2yCFiHQvw59pxCvPdGqT
OES3eMCgcOAErhfPVqZ0ITGXF/Cp9mx7rnKHt1Elng0FfHqGm4xu9EirkZoyA4GOWY34DVYhPjyB
eScLvjU7CHpUaemwUcDf5Ci5QcUDSxErAMcwjCeegyH9MmJiahz0pl6AhxhFPz6NwlD6nWD2Kq5E
BwDxQ6ZI2sDu2UzREohsEUuhZLKm/wzl9Ny2499e7vyXJNGebd/tsWRVAYISChbyz38DCIpqsZqB
3mnQQrtCAyiKuod0VT0MFAwI7BRaX+8frhvfD9cO4EJMkc7lFi+Eptli6QqTm8q+OXjSzh7lPLFz
hM0bw0hKAK5HHGXJj7qc19SmTlRXuhfUNsTUE3wlU/crHVzUwbLQWjssyAq2TxZikcXRrbuVJ6lY
YJThCaU8iTTVk8cutWLzmBSJlcL+8jCcP1mrmMdj5LTV8mTaIkWhKXNGN7CkhZd90KMSPTCl6Nz0
e49QgH3WUVp8QbtsgrWqxt164LE1uhcNVaj+xUvnOHpo6HAOQZSNcRdYdZ72qPPZTn4sgUYS8JG3
IKOCgQvKfm3sqgcQQ2XP7ymUJWy0Fc5oMQulebSiNFtPSL9FPxpbKUbfG7w5fW8JCriSxDnQ6wa/
AfDmcl2zJDGzpFBRv0SzJz3YyJtBRkcxcqebfv39GIfUWVa7wFZuwSjxrOmD0BEH1+wuC7zeKp4Q
DKv3tgm/9uKil7Ohl03Vjmcc0fPL2RhEsODn0ctBYXR+LBI3PZjGsHeeZa57NQoKubIMSX1o6x0v
2jYhZWUvAqipfgg0Zk9mGvV/1IaXBO89XfLZlNRKipESB3k5oZk16xEfS8LGqIoXXR/FfHZSRGR3
7n65MJdTYhz47ZB9pKzsttCuIJiarmOVhhV2E8ZBXletT+yWuA9L36B6Odhzof4Pk5PkbOg4zI3W
/OXkYqDVKwp8adjF2nhaFbFglkfU+v4ldEFMw8/mhNIhvBxFNEu1ro6Rhk6RTM9uSxsrtzprZy7y
nGwWkH2NehE6KCroLrn/f7t3F3Ma9HpSsnClS4NfogbZ4kjYCI24a8118Vu4brhkOcpg+0Ve9ju8
0esP+EbZlwBEThdtwsvxDQvn46ql5Icr4HxAORe9Yyd9dI3hxS3GvTW9PgEYZlMhUYmqqJRsy+OQ
QrtqqJDwiYT4qanFdK5gCfmrBRr9vV9PukSyLWm7SzGqzdezYyyC6eQS5Rcppbay/NeqpnfDlvib
YdxS7Kc/AZBt80A7dp3qbaooFPVS0ppxJoAW47vpbYzyVk3GZcWmkLa5aofMcYVTLHEYV3PxN3CC
OpytYk/j6PqipdhPMcjx0KGmBLIZJQNnQcLuxKGaF9SpqzrygqSz95w0b+wAqU/OfU57iZB6M0y8
tEOXL2USKlVi/mGthhFgtjWH7pjqx/tb4NZQKHFReaUaKIERl1s764thrTo3CZEXnQ4qLfYzQrbZ
RyRnmp3d9rZxL4+xK5nzpjzIEKPecES/HePW6NBx1GDFTlltjsfBM5vRb6uGN6uwBorbwJXb4mdb
aZlm+5qGIqM/Fz3EQStZUPNdLTcpnntQB8WTWONUO9trBde8wgNGD4wpH5OdqvSN783P5TRKryzy
m01gBNC47vtGy8LBpIb4qFGXNh6HtSXtvP8ZrgeSYR4ABx2YDU/55ovbZrm2bR4XYet2Ne9EmX+2
vHTPwOr6HpPLT8eNp4jGy/ZNyHMT1w20GMKhUOOPCEZKv+RuRNhWg1mLhmkkdp6+W/MCTYiUBjhZ
miWbw29iopphoQppd1iR5UKCNz2lUWa+/5LxwF5KnDGbGLT7Zv3aDO9ZI3Vg9lOfD6n+BdAKxM4z
cH1W6ItAXyHhINchRrk8K60nHK02hzrUZ5LrQ+vOGZJfgz78oYKf3fNpkyfv8rRIVRXuGGJ/h/aW
fjla7qzLkPZwg916MT82sBFWKuWDUqIW0iK4qIGmLv5OprKaQffNlKK4z9E2ePfGlBkrSRZ20hLS
dPkrHCXqSLoo2DudHfvWWijPaGwq3949Ci8R6ADwUjINkSv/280w16koI9uKAhHn2gdIJ72Ps0C5
8/3kaf19RWWvEUkaiOs8SMARNisauY1aRhMMcoQtBvHgwataHuNSHXMfxdl1ekxcZFH92orw6r0/
QblMm6HlzqFQQ3oFlWGzdVQ7drBNc6DYOpmLTOysUXPX9KlHjd9JWj/hsdL8KR1UshT6rTvDb48h
M7cgY0MRJByEwLe5x2Z3GpeyLOuwL2vl0OvTfNDVJd7pUt9YX24wVV4sbzg++St++4pUF2KsVNY6
LBat+ROF5Ko6VH03nmaLPBB9Z+2wZKn953uXFtSzxA4Sm3HVbMUq5gWhaU2r2hCq+b9ZuzRftLKc
T6rsAkerkz0ADpoOfWe7X+8PfL2oaEiCImRLofFBb+tyupOKoQPqGW2YGh6uPxAHP4q+1nc27fbO
ltOiSYe5oUcdh6LD5SiNMq9OZTZdiJNbHyQujbmh16ZzphfTYTGN7OG9szJol3kkRCBAEPDZzGoo
kC8DGV6FnUp53epHEPOUY3dmdX0eIODChZLhJzPbgjPQqHbdRHVFGHd91Pu6RRH3IGx7ro9OoR1G
9TFdl7YN2kHdc9J6e+Uuz6Lkn9MMJCcHOrUV1WkaKxsQAGnDaFj1+Jn/+9uJi/hsSkH5owYuGxGw
TsjiblvpnW/n3tI8Zn0822G2Nn1+oLKg6T5QDHwpmCEZZOZB8Dspi7tmZ89ehuLDKqvQsQ9/c0zO
5YDKzUctbZb/1n4x/yH6H2sK+G6Gzm8czVnQGoXlHFRLoZCLAGzbnVpsRwuo5FoaPUSzGLBuiHv1
padGTnG9KdFWAqvZzz6i1fV0UFQ3iv0Za2LnMEWlYT8tUeFFH9apt6szN+piHTprWgqfSyrrHoes
tzRU4CsdZWd43+23GTVu76MXYb7jp4NOZ69v0/8MY3aSf2tj7dfvhmIm2SO4sUbQrMOLEsW0ZPza
lEZbhbOCKPyxjBvPfJrqWY2OhojnKFDNEQMBF6/p8ZlWhPEyRx7rVpeUeI5ILxh0MpQCJVilsa1X
kK5VF85dNb6andH80oWaWscW+erykHfLsjwlhQuWO7OoE4QVULr3yiryAuHXRHiKQw8Qr+1bZNed
F2uRoNpceEuY51jy2l2vvYi1VwO8BurPogVC4VPy3jPu2QYYpNDS8pIx5cEA03t51nOn5voeljYk
rM1c1qxdfuqN3QieBm8Z1z0izvXdQqSESBzZO4154sLL8XqXzq4diS4UaJHZD82kWO2zsZZ2fkiF
sL8mVT70O6XiG3NEWAAxQR5Bae+5mWMMVgonuxVyvMZThGxj6ysG2VpurO/VWGM5mR2IQ40rDSLQ
5tHVo3rhQYccX1i8D7IfJh4FUko/6sZrcGHw8uF8//K8saCoLFvAdRCGlMj5ywUtobeuK/WWMFEB
IoIUhXJ3sJK2Mk5RbHYeT29t7WkA3FjRN6Ua1hNxHAhpl4MuNFL1pHPGMHOxcfdTTY1Oat8joZRD
stvJiK5naL89RmwX6VS8FXixqsQljZunkLi3+IM0GENymA8PcOGmz0Oe7UUuN8aTWk0QPxFxZW03
8WeUz4ig6foajqYuYj8tMfLxBxXOur8m5UjTqCujPbzq9Yriiwmvj3+ISWF1Xa4oXUQF559RDSfL
rj8Wc1U8VHac/Gy5pXcSv1tDkZSh3QQYB9bV5nnXO703MWfQQ/Tk079qpZsRVKeBH7ZWNewELNdj
OZI9K1VK6BaCdb+cViK0caBGY4SrMQ0BYY32lIxYOU0OUmPvPQiEKwQ/FHyIjlB8uRzKFAsKI2li
I4tSRKQNw/JctXr+ZdX75ISMXf/u8UCScpNJAQOp2bjJM+slQcfcVOwQW5PMVxKENspcPze6/gUc
S7dzh71pW16GEDJ2ICeiSCdJbJtMYrCmRFOAqITZiPbeAV2BsTgUUVMoX6KxiGYwQVGnUvDP6SzM
WoxO9GyadfygqLjofU9mtZ7PFM+dv+8vu1zWze/SUdaBvkC1n37fZuNSgsu1oUJ1YO6xJShxqDnr
ihPvtBvod12PQ1+DriL1SZhIW4FHFBY63qo+YdcmoJtqKUb4aGODYHwdRNZR3m57G+eOCgfw/mGJ
AF0dO6h2C20iWzQ/J8co1lPeNINzRDzBUP/oexejxKRyp2/1Wrj6S+7mhXFkbwncX1Rtts6TXbi0
eWnxKAcacHbz1AxVBKVhTivxVz91avOhMJIoPnNH5fUx1nv3M57AmXeKpFHSi00n+pmuMHeHjlq5
im8D4uTPNKhqrNoQ6Juecs8UxRMBSh3WQLnoJxP4Kwf8qNyX0pnmv0nOwNIsDe38Y667k+lTGE/t
A9iM2PAxI8HFo50N61dXRMJ9BDlbgp2q1glniPj/ODuv3biRrl1fEQHmcMpOEpUsOcj2CeGxZ5hj
sZiu/n+oDWy42Q0R+jCD8Ry5ushi1ap3vaFFftq6uTLvY+I68z+5ScDEnyzqZ3nbx0YW7mmMG2ZQ
hJABj7OM2cNVmRbzv1VNntETCkaoxTF2jcXRgEvR/CPyuEhOUi0KzpmQzRlv+5Bwro6ORsKRhzin
v83RekekvOt1OkQ+hmR5d8Ol3qz3qVaYT06Vyu5pSDz71XDKdjqSNU4jP8OUQDlao4fxSgyXw8Wq
oA5p4tpOGO5bo4ificErvTvYO6TyNC0e2CQbRSP3r9n5BgKV17ucUkccuHw6xa0TZsIkiXComkMo
B02973I1tA7om6GexThQoOxwmoKYTEcYDl6RTdyFx9JTxSMxftgPQl1TtGOPWus3HqfKsGuoaNV7
ui5WhHTUI72rFBNJOaqrzPNBiWk07pdkkH+sodGak6rnzbeJuB0vKMAhv3txZjbc/VM9PhmFl2sH
mwiq9us8Ijva+GiufJq0Yai0MBMDp1pjb87UzZFlVVVgJEUBx6dsn2yymzbuVVc+TJq41sKu56oP
xfp839VE2Gd2G9VBZ0Ketec2PoR1056MclON83ZHW2026BEW2NiG+ME+cD5WpI2Vrs3c4dLEwCKn
0JPqV6ItceoWfs5/RhfL6ENElMlvPU77OyNhvTbEztj7KaL/tzOsrHKPvVS9FzMzohSqAHX+zsxN
7ZsjFfD1OsTg5dYtB75+vHe68OQJbdrysLj2zHgzyyV+wUbWN+y8cGKkulMdWNNQEk3ljJ/mTNP+
eIrtbiAkVxaB8+Z3RYG4QHur/blJW+oN22uC1hvMBzxJtKMYKufmo6cA7QlM+PDFQ4zLQXv+YtjH
esIA8yYwnbC8H92qOCXUqh+uXJZRWGfUuwumtjzWv9EexbTEZKRNUI/J9BRFrQKtModDiFfs/uMT
MkCWFgyLfclYPbYi6hRLj+M2qKVWHNzCFntKwq1S7PLl0ALmymfAjgbrXGf2egpOQZk2NsE8Vg6n
Nr2WPjTjjdrhsqBlFJeeKe0dltta6aoAQJqtSECNaFze41g8nSYN4eTU6v1dDKa7URldmxUbDpg/
XQX+XD270IKWAoWuDVKb3K28ioxDrfbtxqyujoJRsWGpiwh1vbC7KS8ltIvlDSXpoZEFLM/a2eoD
X36pS+AAHvEsO5XLwPIr/lpyHCVQ14u05WyW9l51pHdTelq/k3MVbkzoEqBiKBBTtgXAUzbT86GM
zqD6SQZeEz37XdHHr26fnuZBM3x1VkdKktIgfk17eX+lX5shFozgU4uEHw+582G73M7K0NZbcLE0
3WFyqpJQSTYrZe3WQrw2FI0trqsMtwh7z4dS5NyTI0CaqaVYJKJh4kx7aO8U47B/f07XVvyyry43
KlTw1mqjsL1YMcehaAOyrx8cvKwg4yUSE82iYMcIt67DF21GLoucgXj8oltfXIVX21/RpUoiVMYb
oiy915Iuf4pcR94oHhnB5lR6+1xSZircml8HaPmPQ1yRt0lC7fcw6oqjhBiyiwwEcF6TSd8KI2Vj
g37LLD4/OmlXYU651OlQrtZswFGMeq6kZBOGRVfNR8/KqEm9TPWSHdfEErK62qbh0Wpgs/tu08bK
vm0t72sshumXO2f24MeK01p+OpjVcAD+tkffiTw2xkS3MMsqmYjtC20eRn9EEt/5NrmRz0nHDXbv
DKmV4vrTVfHGq17WzHpe3gL/QwUBPF5nNVMehp0KmTZo8HPaufEgD11BKOOHF9TCVsPFCHtP1tQK
E0hiV3EqqxLBFOrd3ijj5KXBiofQhrb6gc0pV+iPD8iG4zImiREAO+efCmTe2RKjK4KIBAfoxQRP
pvVoPuukef+rpWG4UStefJoa/RoiRbjXME+wwPPxGm6VcLqmPrBchO++odds3XNLHOXO7h3j8/uz
ezP1PHtrjLLgf3jzvSmwVh9oVYnQbkjKxYFba9XHhvbzgJagKTwIcmZZa348TLq7S9CTO4fObqzi
H6IfKzzaw8nWbjlUR+du6txUOzRxmtnf+woTN3+qmgIvY2G3pCI1mhPO+6oLey+Y45BgOq4CdqLD
ooDJ39z1Ih/R6nb4Zj9orTJwn4kGjdBEGUvvVBeFJm8pI7t4L6bIA1mfoAmrn8axDsXvWOHK+Kck
VNL7WhoVlyFTxYf4Xo/tTD4Pbef8sbSo/Akkv/S/oMnjNpfkmfyRcm6SZ98YmefnRO2Gh9TOnccR
hkr+2UjM9B8kAO4XcxEFffKm2bLu5dzl4309Ajt+dPdHawN3hYYrb5/vaPm8/jrfRvQr8H56LWjg
Chw8r+v9PIEMiR//lgbscokxFJ6/GKa8+WyuljSiKZeAYVsLijRPvzSlIvZAeKgMpJHmG1XvxQGw
QOlUiLg9oV/ksnA+rWicCKcuOy1QRtP6zxu6GIln55qf8TiMT6VWm1srmr/wfEFz2EBIx/pu8eZd
m28oZqdAT5yNIGH7aA7jNIvkMM8i/STiQvuogT27HaUIMkLuQHTq19hTmbA0mkpYQZZE6h63UNdv
1T72DXX85/0vFXLi5cx4kOTXuJxwuACvtj43Hj0PQ+g5oIJU4l96N3r9s61Ow3wAFEOTEU69Ee+E
1jXic4vc5nXG4LMPigR90G5ggaN/ANUiqFQm3r0ozR60oHRF3T7qMLU81xdK2c+fNPQssx9hCVI+
E26ZVLtybOz7Bvw+g42P9+B+1obU9hVHmxBszhlSiWzoCAiKEmwT/NqM6hFZSh6lR4gvU7YXPJTy
yBYz6S/zVMXO3tUm132WZlPj3pB1loFeoXCh6fc5wbAdX5i45//K/Dgq9jg+s+eH866XFtogtWlF
+CM23PgnzoS0r6J4ttJj6PWDetIxULd/FmriGZBBvEp5IffQtQ4KYa/R0bJmuL9EUWberqFjT3bw
TJ78fZW79q+il0W4G4bRy/x0HpElWNxL/1M72nrsE2Vnn0gJKoe9l1iJdqsZUd9BJZhSaogCGqi2
T50iT0lO6xa2b1LrSvgvIgfN9JPKGu29KPG4OhZGmiTEX0/xF4LRCVNG3+b91wyzMj/kVZ0/1riK
vlDFkAdczFMeH3KpOD970D/kfyF2Jf5g9dxOZLd0qJI4cX9nszqBnch0Tvx5Umv9KFj6RPeGSvwb
X6yw8Bu4R6RZV0mi/YiUoa8OepxL+5S2cnZ3Xpeo8a5y8xwxNrEjqK1HW32l/Oi8p1zH9PNhmGRW
Hd08lemtiz9QflRjfN6JjOeiOPh6rwn7yYr1uDuYSumR2ZxwpULpOaXIQt7/HNYMmeXDo8HHPxDK
6JetwQ4E5jUSRJtLR+3NHCRuR8CwEbsqHIC8tGn0cPeZSK3o9OQ0GqQw7Ppmare4h2/3z9V+g7GF
RegiOxx76uqHoHyjq4SkMtAsabjPhKrH3k02U0vsTGmo9UmB/6HduXWfVBSfLRGcQEFWj8F2FKWH
Li3H/onkdbc45VYZFqdGUQlVXixp2j1NOCv2e72usdTySuVHEdaTAejZZ96xJvS13+VuV7wmsu9f
OZxJPXOkKMx9X3rZuFN7RdWfm6pu9OeuyIxfdoS78VGZ4tLaVXk9dDd8tUbyYNYcPwTZT2JS/a4s
JbT1SmvSjdrm8qXRVFV1GhCQkvlzdfC4RY9LUZuTVVxlTuZPVpk5nz2ajuHtiDplJlaHjvc+KVQl
IzS9xVDGl7Kwuu/vL56LUpXjFdU3RAf4dihjVjVWjU4vSszOC0YSC3YdgB0dXXPLzmX5W85XBtX9
m9YaPz3o2Kujb/RIpauE4gV91uvTEfooSZGzSsStK6zs3jBLozhEfSicjZL18jFzhaRgpaxbdN5r
aVhJ839sSzW7a5u+pyufHDvNEYhru1sGnQlXF+W+UpOTVXev7z/Ztxbu+aSXscHMqNDdhTx2ft57
8ehKyIXZnSrDHsRX75vfiqtmL3YaYfEQJar4mlZK8gqfoO5vRjeO652i4DVBdFFl3U90TX+gz/BK
6MLloO9d6LzigNHmODzEUu2S4/u/+HIt0MRYPHAWahSk29WahPycE1Ac53e45EoC1pvxlIHPb2xX
l2uB+4pHqx17WUhua/ormIU5R0pT3M1CCcfAQ8f4VQNzSo52ohI2XR28cZw+vT+1y9oLiJYrPoQX
pPe0Gc/fhV13aj3oZXZHVoBzqEZb/+4YpcI+2KTfTLuuPuqFSZQPfXcDQeAiSzQumG6ZZSQD8uQ7
Daua2jfZoUloVbb0dFde2Zt/yGKavujqVqUyF+G4nNwhu6stTNYmCZ+visYtssLlKwOuB0EAR8Cd
geL1/Ol5+eRGMxyFBbyebrQ6mp564dSfJiHFc5Yn/T+W2o1fP/rKeIA0g8GdIAtiyn4+KLi5KfUw
Ku7cPGtPSR1pry6+V789pdH2VV9rG+X55aPEpA5Dam3hBKM3WK4Kf906OqonIWmm38H4qv1kBvyk
zCx2789q+VvON4XzUZaF+tcomWbSG4KEeKcmZvxkw3HHGp1cdAHn6+n9oS4kqdAPCX3lPxjHgbGu
EaB4SLtstqf8bihE+5+dSo8jNe5qi/7aLLOblrj48GjXdKgOc2rGzcG2RaJ8BljK3F1Y6iykMvFG
8pryAip6ETn9V8uu659J5+X/sqUb2EdMtAMNYYr2UKqymSCxYRnwCH42QKXpNaXdTXkjI78TZpHv
ijKMHMht9Jb2laYI40DGdvVLqeUsnmU/pNHviAT10A+VXH4lCG1MHwHtN1PyLt4DwKK1WPiBo+M7
feE1og0mFLI4DlpKkr0V43shZKsf6tpOP/rK34Z6SzhEzUKL6PyV0/styFuL4kDYiYPLqkn9Gca/
Curn0/tv/OJatIzEYQ5ris4R6PD5SFlipaZXIZgQJBz5cHnjV9uJrBsz1bX92EwSMcgw3LmT127s
rxcfz9vIwPigNVQR9mqOBZ717lDzOEerc2/4wtRTB8934zS/NgoNA0ysSKZYum3n8yMyD83uXCi3
btR0j7U79g9hlTofPQaZC+A6BsDLaci/56PM8B8V2MfKLX7TyWNTjfVd3llbrKwrc7HoELDPLKcg
hLfzUZBQUR5nEqcfYgOcU1I19ScdPo998/6auNi7IeaiiadFpdFSQ+N0Pg7eGQOOHGkUKLba/8R6
3/1BskFHpoEcJ+fzUBWiP81WFm6d81e+MFg2jIlklT/W/FJupIuoJ1RQMLYLzSyJa2LmixZIoPW8
ZGOzu/Y4dUBJaks+Zi6rq2lm3GNHWKaB6ByvP9Iq06u9VdlsOe8/z2sDAW5g14ZDkXqhYqzDLC7y
MGQgjzBtjE/EDZ3Z9OvHRwE8ftOoLHDKajroZXEMLoYokI7yr9fo6SHTwy0l0pXtgp7l/x/EXX1O
7O8o8GDnsl3Y04/CEwBtVij7G3Tj8a8m6Yxdo9kZW6TJTf7jE1xIVhQUqEIvus0qnYleuhWU4Vp4
R4cT0W9IB9+4ZV1b/GwYyClwMUIVs9oQI6w9+iZu40BzJnGs+krum/rFah7xrTePOYXwxrSuLHob
B8JFs0vQC4qV82VIe4nAS0tNAj00zV+e0ZK7Oo72rB9ocExbgRBXXiD1LLD1wlMHj1/W6l/FRDtG
CLM8NwmmBORrmLH+IAez3ve5R/9GTbWbENj2W5rGabQx0SufAZsWPrFkvcD+v9DmlUojtAyvLkQO
ww1KXq4uVhVtfNVXHidxThSc9LxRL6xb+A02jF2aIDxDWKmdVGv8bUAcO9Rt4n58PlD1sIhFEAOU
smaMNLEmBzk5aTB6snnM6lL9CR8p3diM337wWflHjvMi+1ua35C21ufk2LFXTlWaomZyFPIg0JsN
8UFYS2djdB2cktjDaXzNkaFY0a7vlGmkcoL2Tu9zVEYyzptB7KVuA73N8YDtppG6AEs6vmLqvjVr
T7ur6rjr9qHs6ACp8H6+Va5X/ieLpkdy4yXm1xlylPmQtkpi+jMxxHO7i/rUsj9jBkAVWGS9pR9t
z2q7G7sw8uZTmc3Gaxyp0Prf3wYu7mUcsGgQoEDTYCAyYFUOQ+vnJI4GIlbJI8UrR0x7Qc6gPynq
YyKLLX3h5Xqi9CB8ieIBPAJx/fkHU8d0TFJsVQJRohVQU3xpCDXMfUwPtnghlx8IQ+G2RleRBCbu
nOdDIWQMm7ZGZdXj1XpsrTw61VX55/3Hd7m/0bzwsMSA58jaXRuwtmZlh7mCC+pUuMnB9AbxY9Dd
/L4qKm2PD+zwmMX9lvPjW5jT+SJm/QLvLcwADsK1yLgzs6kB10DrILLctv1sUCLxqC/0lFslKUUa
+5k5eN6jNupx8QmHrNqEamgJLChKVQ3jLySV9uo3JdWz+UdZ9cpDm82l7o+s3mQH3N1+Mc1+uq9G
tIWIpVwcuyJRlsIf6lDH2cgsUfuplci+ZxU2t77Akbg/xZFSbF19L7dYfBEWHwbQMZhEa+CgbgeK
RLttA6t3asuP3aq7m/RYfZZRN31T+1qeui6dh7sinoSxsV1cEmypRPk0CJwDs9DYO84XkaZnU26k
PS1eEzO2/eCYgnaRMSv2S516Mvsqk7wW903WuNULj36KbjWZlf9C6I6NV7sRk75TEyDYl/fX3eXi
XpK+kJhT/4BerssTj4rV61xRBNIAr9EnMT9pGGP89/4ol18rqjIP5jQNZzpn6+iSxOkT+FtoOZ0J
Cr9fQxlNdmPEpfYG+em8lVVxuRct3Ay8ptHoLsq91cPGMEc35pCPiejgujyYrkK7x4I+W+/m2B5f
rcywfr8/w6tD8lptFhe70ppz59Z5O3p4QActqV67blDtQyPc/liVtXto0mwr/OjqeItNBdwhDtW1
SNAmKqHADoxNaRzC+pgOcfhNz8rimcYvR0zS0kbZOFivDAl2Q3Y7yno+oHWRWbWqxj0nqQMY0uJG
idt2pxttfEOcervPcC3aqM+vLBoU6pgSUTfAfl2bzWBkVovGjevAnLL2qGn59DBkrXMnMLLb+jyX
m+D5RriIWdnc+RQoLte5xXTmzFG1JQxDPYJhkkprclAVuPbXCfNUGaSidj915lB9gpZPzyMrWLY7
q+vM4pgYBh6LliO6ieA7MZSH95fW5dHAM6AzBOMIOACZ3/nWUQiRZUCtZeA2hcSW1ziIIm3+BeAq
dmMLGLOXg6g36u1rD//vQZd946+CFGdYMXchKjiVbKujyAtvr5URzpuqVv0P75ni031zUgUiXH7K
X0NNGOsbaGWQupuldiw5LwJdLeSe+PQt35M3SHr9nqnpAXPBVZA7rKdFswt2i1YGIe7qie+oCraR
kREOj3y/PNyWyJ3K16UX/jf1lTve6/MU/QC/NFs/zPP0o17I3uKIQaePAmZp2ayLVSUevEYLkfnX
eEX6SgeKNnfJR/OQGQWW0GJoh1IcruaqgukUY4ixCy+DWWQEjVqmgKzpNKf31+mVJUMJoS6PlwKG
XfD8PdqDOSuD0kAIj4Ryg8/1zMZXzoEM2XffH+rKqbUgEpSU1CwqZef5UHSF5z42beTftPWhKdRE
cte59UGrgOWxoeYF18HraGEwno+COEoIXCwwLBgaTPiV2niUcyb2788FFR1/z2pRAo7T0oK5Qrt7
jY8XXu+EUIKHgHCqfP6RwAiffxrIHcS9UURlXu1mheP7ey4ypaDjm9SNOLj9rPe7ciIS9LM6awSo
EWoz9gc7iVuFTitBk7ftoEz6f0VWG98gAVTpCbSNhHk9zVRtZ0iriXZzGhtfVDPn1iJgkrgPXOZT
3FztsdHcQ2s1kIk6MhXsm7gctfautbjb+wAmpdhhjZk1T7bSzlXiW6mWOJEvGuieqS/KVIlPk6NH
2j6f8FbdV25vVghZynz2nd5qc3iAouv6n2rVT86NtLqiDBIlV5OdjmN2fTKtoWeLDftOIsaLm2I3
9REciDCHslr3uha/9GXhVIeOQtLzDU1Y0aPG2SR3ZZpO+UsUQdEq/X5M9MRPVX3sj3jL2j3ZIaFZ
3pRN7ti/y1qfJKoxd6pvcdAszZcCtzbY0jR6nd+ppUZ24KSVWhzQYSThH2bbWjtDuKENXyQ0VBD4
ssdoO5EenmszVrnHmrf1YE6RiL67jV3/CIdZAEpnDSakLbB5cyI2dfg5Ae3We8uTtumPQ0s+uZOY
SnMTm4pMnp0JJ1csHcmDbH2DSL78hB2k/hr1Iypr307qdJJ7jHM7/Q8yYnYtjO2wZBV97nyRcvYs
PHdbOCxliz9KlpTk0bmFdMjCiG1BAjvxb3nxMHfc2U+hGha6r1Xz2ByNUG2UfSbDxPk2Dpzt/mAb
Yn6G+9k4PCkMnHawOSftR2OA4vq9aSU/ZyMpdcRBvVkfsOBxnddJL+VLrub4y3RZK+YHT41Ffurw
/hgPpK9yUvqObNFO+2PTpd1tGlVKdzNqdY+1s+OxUyH3ZNH5NXSCwjeo5YYjUXf6n8Gw5+jb+1/h
AsOtvsElyhf8g1wobmIrBE3rNK+1zQnysFnri9MzFj5p5NLSsSASK5mKmWdhwx9RYwMZkqXYf97/
AW/3j/Uv4P4Hq52qFe7iarexILZPi2t8gCzftvbj7NVPoVDSws/bkNRcGWeeupv02rp3bSWd72Q5
1+3e6Cdd86usoLnjuEprcHmKynRnK10oD4WZCnuHy1gTn2TYJj9lM85PBXThLXeXK5uYbeCbyq6M
MyCEiPPNMldJNhp6qrURzojfVP2+whJqF4n2nmrF2jhrrtREgO1s0AgONMZdnTUZ7qoaZrk4Czlz
61uwIvY1HuQz0Ls5z3cgyxttkeXKsH47nNBwV6HoADos0/+rSKG6i6tEZnWAw5j6oBuyRGsmOmzK
8+aGtCg1mLLZhdnU2bfvL4wrZx2xLFhmYHBP+28N+yu9HWE2ltdMFbwox05w34Tdlt7hyuFt0xEm
WhJXe/oxq+ZCUxojTtBhHRhV2e8UQcbfXLbK3lXT0f/4hMgqAFglbAZgdfUohTQj8FuGitxwaHwj
DbVTmZn9xhu79tywF6FRsjSdL3g5JgdRUWYKbyxJydwQc493e1Q13sZ0rj65xVpk0W/QqVstfA9v
7JLA2SbIxwyPAwz5MT2fJPI/H9Sz3uKKX5kWPAQwL3S60MTWMAZauEEn2bQJEJ82ezVuwq86krQN
VfxFkjafFjg7QC1XPjIz1/oXsw7tMbZx8oWA5YXPMN66HwhGtJccqnz3K6LHPj+xiRXzzVSXZLhW
qddwCPWldK3b2kit7GGa3LTZeTUUkaClvu12Suforzib6uKxm4Yp3UUt6dd7OzGLBngjDP9Noj4n
b6BRjPSL1c1q/MQZZnQP6Tzb8rZNoGD7o9UjLVeVDpdjrD/cZF+hOio2vrsrGxp3QYxLcBoyAORW
jZsRKS6ObVYdyDh8QKBRfpem+6+Bp9mtOWbR/qMfBeIYwAOdb5wr9hqycNM6xYHPEdzn2/w2h6v6
MOpi2qibL+e0dBmAx2Ex0WBbK1eayISYh+tKUI5Z+M9iUw6Fxs7rRy00Q3VnhJ78+f68Ls/VZXdm
m0bECfS1xjV7DZfwIRtloPZFMx6k2cjhpmz7wjz0WR5FPnwBp7mpHIcj1hKuIXeZIsPwy/s/4/K8
AKZnzlxLoEVZ64TeVtUnNVLbLujLlDTRXDUfYRfrO7C4N3e65Ecc2tOHV5ANOYrvAYIgjghrHnXk
6X0YSa1DPDKkU9CkqoSn5qVK5JPXOkQ3MEjrreDjt/3m/KRa1PKLZJ7MKxjjK7iggcYkM0Q0Ad9d
rLx4iWyVrxhSSPkJIVEffam8OZ6goJVgVCiSSbefNamoHfIWOJm7XDPlDMpQ1D8hPnvp90RvISy3
pLtGnwbZ2e6J66T5Uw27KEG1Ayj8NTF7xdtbQ52Pj0o4Je0GPnO56bF80K9hU0nEIGjI+ekbNoo3
9+RWBK5FtIU95POnEvRi4xu8POMXqAl2PeQoVsobWv7XGd8h0SYxSMqg4eq1L9lfml3INtn7qjCS
V6sY82OE0dOdjJ3s421UBucSSNob6BpWDOdT7O2hk6MiZDBDhD+VgD6+7eAh9f53cOVB0j2FEgF9
hTvnuoyZE4VWUcwodq6YgTFqxataS3Pj9Lg8EhcofXG2xeULAvFq63RHL6rK2OJBlun0zbD78YHb
oX5jVORD/A8Tsvm83ugyXNjPH1vMXjHowpRBj94UWwMEZ42R68f/YRQgyAX6REe7hiIFjnZxYcR9
wKHV76PaGHCvrbaQgKsvBy4lPF643+A153PRWXx6Gtd9gH+5d0y1SZzIGph/vD+Xay9nadK5nGwQ
jNbmzXWrtWncuX0wF6147no9oeZzKthjlrIBoFwOBdyEoo1+IPw/VJnnEwpl5Yg5Hdj8pVbeFqab
/Q6FjmSC9t1GtXd1KNjBZE0tnca18y/q0qj3BLwoiog/Di1gP7YasIFe2UoIvXxLaD6B0t5WHBTb
1VuCODV1lZkshkE4c0xKlfseHiWH99/S5Un9/5hfEMq5UF24K0T6GKZkqAyBlLqc9wWNlRM6i0p9
TiJeLVVVY6b798e8PCS5kaGoXjq4C9V5dQeGb4/oIGdMVwj702T3ky/LZglO0bPANuzkqLjV1qd1
ZaKwpnAMwoadG8G6j06KB24eKPwD1eigM8aY9uakejzHrt3ch5W+lW94ZaFQPONLu5hmYkW8mqTt
TAg6encIFImCRdpkK3lhFR3Ttvc+fGpRp1NH4ycDfM+OeL78M1xHEFoVYyBcvbpBwzDeoiDd4v5c
e4BINWy67ngFqWuU0jJ79A9ZPAZN1dkVeSEZ6TmV1JMpSHRHfi3mXP84x2LRvoFkIrejmFx338ue
dq+dNhg4ZzBsQ9SUmNZkuZltHFfXXhbkGz5rfJ6Y3OpljWaVEgDQjUFoVG2QRbZ+Kg3CAHAMajYW
/5XHSNXEpcpcTKtoOJ2/LHui4RHWnhqIWrNu4qnP9rFw613C5njsjVJujHdlaos9LDafS3eLC/75
eNKqVLvF6DNQCar4byIFCwvB0CrvuABYG+fxtblhkWWZi64IaH75LX8VNqISUcOq0IKxqZSDW5Ld
XZh58VTNRBA04aZJ8uVGQgOA+zCMMFR9+prsk8d51ygFbTM9c61HFcxzr1FvfC+zoroNIZ2+5BP+
Qe/vXpf78tIMJZ4CrMRc7NnPJ1mNcN+IgxoCim71oKWq4keEgBw/PAoA0EJ7pY6mVlxVoshf0jkr
CKo1m7mdbugOYT2BYUjTb8AKl9OBDYIDGGNACAGMPZ9OZxNNUrR81q0h0YBpdvhpVpT2o/Y6sKR4
ajT+aSyqNFvPRyGXy0wLgtKC2qWmAQEy9yFGzX5VmR81ZudMgcIOqACvGAHjuoYC09RidMZj0EFf
91FFlgT3aPnOseP6f3h2cDxctt/FqXvdzc0rEOixU8dgRl3uy1DJ8IJwto7Lyy94QXwYhMKdgnrN
ECyFqs1iwsWe5a6QbzlovpL048kmguPw/qq7NhRqfeTs1B7AWatVN7hWbjp1Mwe149L1pfKIpY94
Y8hOPfzHPx8ezYSqgRfwYmeJVOR8UXg68WE8LhWs08NqbLKLvRgG90hc40ft1FkU0KpwiGe7gB+y
FoiLOmvEkA1q0LaRt9eJjdzhblV9/PFBXOYb4pzkZrUm33SYRY81uUZQHMt6R58db9winE9GpmzZ
O158tvRyuR8sSA63BX2t1NYNRCFklzmBC6j1zzgm3b4ekuzl/Td0OQoqELZWWMUc+Bz7528oGsws
rlscMttRtCdQwvnB7WrUh+8Pc7HsDBLp2EqRMy/k73VRPcjczQclA0pY+CxF4pENajSkDFnT1kK4
OKL4lBxu3jTC+T9YUuczkkYxtr3l9YFMRfjF7jO57/JZO01q3h2FqLbI9JdT49PFXpTmO7wnPGPO
x0Pbj/1Erg0BDWblxpj01B9kHR9HTWx8Tddmxn2Ea8niq813dT7S1CADzCx1CFLCqA+0tGgTJmN1
rLWqfjXjautG/IYUnAFAy65EsbRYz9OOX0/NkeocOTQLgrCLo12MGvzOKTCqk1VY3btwvX5kcrLu
8LTzUFXr3olO6HCaocwFqU6G4GSU5r2hTltf4UVVwFMmKQNHS413bTkrYCpOHFlJQxmD3KkmfzaN
eT9WXfUY18Wwa7GO++xk3ZY691I6BRLGCWrAHyIVhN7e+eMfa6tpEIPpgaS3472EqZyKL7mBNPdz
VSGB+hG5s5kfYVab+gO4xYTDS9e44m6I8X8+iLCzQiJ4WopqrzW1Jw/vNnMH38qc6WYXZMoOeh2F
vzvgVtcH5cyVf20lsvKMSNFRRUpfpEW7iweReDddkrnNQZIRXN5Lglm81yms6nRPDVwJn+tervxT
Y10d+0nD17bH4SeOfBInJqPfN6BT4a4CJG0/CgnwdOBrwM9bvoQLCRU9mqKnnDECFwtQFfKAzn0o
ITp4NMpUbGwql8uAwWCCI9jits615fyFhLkjjGx2Fq9rz/5ldG4TvTTtYJZ7PbKM8tSaVpgH9Dim
LaHOBb7HNLknweSgAgH+WpX4jVV6UToRp5G2rukbXiZuSMqFyiZl+yAkHpg7q6nFocrs8OX9nfRy
w2ai8Gy5WqPpYurnk8YIuBhdszaCCsuQHarZ/rawq2lD+Hi51TAKblGkocCzZ7TzUfR6HnM9TMwg
jvQp9b3KztovIJ61x2jo1LGuKYZxo4S88j7JQIL0S7gHYMUaUrQU/EingUG5Ck5yN9t4ftGsVkpz
V+uj0u1yzGwiWHvsP7fvP9XL+bJ7E3YOtPSW5bF6oTVkltkaTDOAr2Ub+7ZKq4kOObkCh7iMi9A3
26hp9+8PenlyQAlaFIeAxEv6z+pVeq6EmIEMHF6T596KyGQYNP23aeFuGTleLtilB8d9hpu2CUt/
dUgZ1pi0Dd0MDClJPTb08KnJ66/DjIe/2cdfhUKSc9WbG6vocq0Csy/uDxSAXOPWaeqLhceQGvBe
JhuqR0rG0b6XifgowRBAhO7iYu65mASt9fxkmqmo1rCYGBxX7MbaiE6dGVl+jVXpxhu71O9zi6KM
IRbqrahd09yFqcN+q1s3KNSoaP7rJu4HuwzKFZQVuBLOCfJzGB6LqEicfdhGhobHOe0IPFmswjqN
aSTrB9sIdbLIJSjLTWmEVKrs4qLKsVapiQDrrLbMtqQHy1o6P8oXZIf9EgQJGvO6ezamXpwXTekF
8LzEGGTqYKGtQB2a7fPB1pK70q21dkdiLlk2rkLw1EHIMvr6f5yd15LcxtKtnwgR8OYW7WbQHJJD
I5G6QYiUNrwHCubp/694cQ4bjWjESNohXWgHq6uQlZVm5VqPLf7eIPCYMLzCQCTnNdefaoTgyGGk
KwxStRr+iLIaDj8mUr48XuUeIi+RiYAgwSBg8jzWt95Lc8dQQrTDABZWLhXQMSS3LStHmagQlEOf
0I+AEDezZLN4LBH+/OgOBuw9Mwgv8awMrXjW20zZqwxtbN+l3IsckwU4j1mJ299VFeh+LNA7BMUc
gWghZ/Zqf2yK8c2tfTmDIakNQCLLcvnquvdzlUQ10opXuG2zgzZ1w0VpIHp5fM53TpM7wNySROpQ
mqHCcLudaMwrpEpqCgu0gj94Tdw91Qwwv9ecor+idt/viTLceTEWhJsEHAadIPKJ1baIc5WlVChH
muPgvcQ9mj4XWKvqyp+THrbryimz/5ntMsMDhHHt+Jm7r0dLHcg6Lz7fT0703W4XAt4sVCrwOYi9
E36XdGXhaPGycies2ThWXiLiWkkFA1Ht6u2tyiKju5pTz+vjRTnnuhl2vp6K6gW+udg4W0Y87b0P
93Bmk5IlSRPuU3bz1nVY+EKR7J7h9Z/GdBKHtkyb7FSK2Ht1tcnRfNcdov/laO4B0wNzdwQWWbs+
EtTpnzH9+PD42LQ2zlpOfiGZjCyohszc7VlnXR07BZFmYNgdMwiWiJ/D2KqfHq8i7eXGKbJpOFkl
0hgfjLzc7SqTIpjD7Eot6MIue+pryD/aJPQCDfPbMZ4N06WoLqdWQOXyhqyuflguXUGnXgvGSRXH
xE4dyFQsGJyVqTiYpWMcQ02dP7R2tDcgv7VJMEVMgzLdwdKrKCO1RyPy2haKOWiVXoD9zh/kFNrP
0h7FW997BqJIFglnALtIxpjb8yz6uQPhq2lBC4b1CfyA86TnZb4zALphG3TW6RJRfpaD7KuikgJl
SkMaw/1I6/qStPoPqwuNHQPc+F5YHX5G1l9o0K2+V9JFTpUoJHuRLfRT1On1FWQr2Emjtzt/znTn
c45i0KmMumnHrW4uTQgsOQCkUMHK9pGdKZTQiHQJEMw/1gWU7nZWaF+XwRZ/qqgjIW7khSCH7T3m
ww3Pg/6T5IwBuUcFfHUfwtbqkzFctKAMTfESJV18Fn2ffIeAGm3XpXmraiCvM2k8SAuq4IwqrvWE
ABFqmuSth5nf0V4LpRmO6tKkKC8KsKaP7/qW1cgqOBZDRxK6iFvbbPpIpfSKmkiEaMkxLbL4XMVE
P49X+cUIs3Ip1OsM6qvMB/LKr56obg5toMymHthhdZ0gUclr5dmIlXeqGn0tFOukCuffxjA/DrH3
t9a6PgIZp8EyGG8tdecQ23v41q19gwOjjkinkqxq/YO0CXW0MtXp2PTlwe7D7Fowyvv0eN8bToZn
URZGyMQp861CAaVO42GpG2gl06L4PGRRFkRpYp2WdtmDt2wZqRzFAzXPQd+psKlqMzSpw1IqU/w/
qFCJwIgX+2sYh+lzFnr9W1NDOnnAeAgm8Z+4nNV1zENFNRc3M4OuGIoPFOizowcD4aFS1PCs2o3z
dicqi1uUteAZZfx85a+1tNUipO30AOXmBfVXQz8mqvlmAhp2BUAElBINQ3Lf1Qdr7WFJmHmgUOMo
HcymWnpcdHiR4XTaI7nesEDI6UG1qvxP3vfbm1frRsiYGdo6cVc2n0Ynip5qd6x2vKYmH5fVzaOp
AaILn0l+dtfZEM1o5pFqBNHSexf6ESHDk2X4YS5mqSNuNn0L/Y0R+0rF/EYmhvA06uhwPL4IG9bJ
BSCe4MXFe61Z7ZaWmili4gYYXlIhKqVdGChMcQDzGT2USc10j45963hhxDXxOXCW33XDptlotQqK
UVCB4Xy0Ulc/lHW/nB/vSwa369MFqyKL3ORud+zrwmnr1NAjM7Cs8R+7Vr40s/VCT+KV5/6zm8yv
j5f7lY+u1vuF4iCRASxPMndrNE5R6MYc1RZYBOgqLxBOieSZ/GkZjz3FjPiYLylc886U1c9kbpF6
GSN0+w7Z0tblTytOC/tZcYf2tY6EZX4GcJe4x3ASiXLQasVwL44yOh96Zp5kFJtMqE2Udq4HvaLm
+l8iTyEqIlgekpduTjIPzUXD+2LZy1wf6jgncupQfu2fw0VXs8scdxZgYkW4xRNz/6L3GV1PxDej
mU30bzqhKPj5cKmO8dSZ3+oxz93TpKu9ezRaxQQ2yUQT07CQj7tHvSU18FMFlljfdGIdjq3JCf/g
y/c/tSKfomPWFGl8MsIUdkYCW9i0xpq61TkHcZP7c5gVn10n1P+ZqUGPB6Gbc3GcEKghdVBD5Ztd
M576wVLrSH+p4qIL9Mipy8PQmO0f8RyG9cGI1cH14ew18qeGPOV7rahUJOy+MGN/xk8y/6Qp2T+5
KkR2GZNJ/ylCZsYOTAy1Ho5rhH21KLzsryj3mPJs9KJQj0iwDc7OddswfpsZEYIVwLEgtlavGz1b
pG0K6Ix7AbK0rB2AP6O9HB9b49YqEsHOGVMTvQsGq5Lqvjdi/JGiW746MxatmPMeT8zWKrzURF7k
7CQmK5csgE84C1CioO2G+GiIyTlNodjTNthaBdwhSRXRpSRRub1YIy+L5yohe7FU8WVRs/FbIbLo
9PjEfnGVru+vnD5CZpDPcucvJsqLLRpD1DZLE3rlWTbHXiqyFArXEJnoRzTPAMZ0dkwouwywWB5T
tA7/QUCzM45a6uTdV6fWh39UajTp3q/beCuYj8Rryj6uCkjn9hDiuQJSFYJbteGm/bO0Wu3TnCqO
A9uIZaBnmnaqL4mKfsztmJ3pyc0BrYa9RH/rU0ABB45e8ordjRD3dkEsA9ltoLeF9p7h+/gvuAas
nXKC/KCrL0FvEkY7uCIoXKxR3ItrKpRMCABxOz/nNIwugrt/yAcx7Bzrxn4gUKHixGyRRMWtIheG
DgCYNKEexNPI+IpVuodCcbqdl2hrFZebyD1hOIzLcvvthGVlJQ5XD5JBA0dYMCkzVrirxwa88d4B
a/1/q9yD+0aYf9tRD4pqFC91VtifmUfR/WJMlqvWdPWXXFR7Sefm1kxG94iXPCKIVY4yRNlSxF3B
1ip38JXOm56a0rF2DnDDIACCAhWTEQNFj5WfiZS4N/VqMoI0tPTjGHnfVHU2jkmVxTuHKK/RyvRg
m6Qg4Nhk6ljf7adCpS21W4BrTIsDxlSa3J5P/exm3Vl0ZfbBbpTPZby017QNzT8ff7+No2RpdofF
YyNrKzFcktmcLmDQkkCfclz4CbmEvYLk/ailLA6wOYg6iMCoSd7usFHmdKq83AzyqP0YWtr/ROEq
jFkOZ1exfnhJckyVP51GeY8z/LzQDoXJRn91QYv4BFlHGrCVHw3jp6SbX/vWXg7asnf/t06CBxI0
BEwFcir09icatEIcfeYkaGehTTwv7jlKkR97fN5bBUTq+fxRliTMYhe3yxAz0n7yBjMIGacHLGBW
DfzFYjE/JCPC0GdoPaPhXWGPZf6iLxm1U02HyOZs0mvUCIYyZy9x29o46RODEHh6IOoyVP8Nqwi2
HppkZr6CYkD4GRWP4qSm7h4Z0OYqkn6SKiL6gGu4yUQlqmd/ZtBYU3+udGGeE9G0/8GcKeQDhoTk
krxXuqvf9pIs4xzDGmFSns3FqVHt8mIj7r5zX+89A8McEmEPVIf9rFPdUTT0kKraDMxBjc7CZQrP
S7T+XFf9249NLgW0hFIorYr1RNMMTX5udBUvsBpZDNW3yfjNiXdnYbZ2BDoHrBbVbTnke3tuQuRD
ohj4OsMyU1g6UioyUWZ5xK9htZOzbK3FICotAjAzGrWf27UYUgZ/bmNvMHlH76bG6A7m6CrB3Fbe
zm27f52IE4nfXDqRJmXy1WUbBlj7J8WygmpEf92KzOpDafblBYCS+yMBRe03old3bPBX5eHWnbMq
YxiwIVEzoJN8u8Gk6EvN6VSL0JHM7MNCif7fNPHK2j5WcY0KeUPiEJOf6fWrDknDcgrztvs2AhMW
h7nTReurKOe8hrBDpKC8xxFGAMQdmFIUciKeJGqoz1ZdDR9DL67+TluoIw6DaebLIWNKaPGNwote
26pKXq3Y0r5SRG1bX+/S8Es9oO3p64pIlcuOZ5OHud42Ogp8V+ZBZCt7tW2oKRKr8+yAKdHQp49r
PLX4/UMW4lHMXiMhS+1PnUiNpzxEzgfNCqQxpiQp3iGcVx0f/5x7f8OvIEKQjxuw4XU4pyAVaQ/l
ZKNO00ZH9EkdJstmdyev2jIwYkZGDmica966jKkPKIZkrW4HZqJM36dR7w4oYxRPYZckwcJoui9E
7e1MeG5sje4ajWFGAoB/rDsVQtMHwxoS6JK66LuGDMhrK0r72+Pz23iycdYMpoN3lEHqGopodcJ0
l06EQRlFVvtddRQdmgYP+vnUzx1kAZZJQGAXRYmrX3iyzShocwRvfUhx8647NIWeJb4X0WP+gox6
9dGtGj17dtIwHyF1sK00SJKljIJ0KHPHh36xMHZMcsPT8ARQFWEOlSdnjUKYprHkr8iBsnCsjlDP
oUnSM6NUwaPx9ieB45JSW7Idd9cSWJZyybiFDtF2bp+b0OuOSlEpl6we+p2lNj4/OHU2BfAeP7WW
v2hELpBCmNkVqC/YZ1qau5WzF7JtrUJFSdbn2A9hwe1t7lXh6dFUuoGyWCBhDDRfhL6EOw56YxUq
V7yWJET0qn4VK397r/Wiy+s+lvgpGlXn3k6mC7itvam4rVXomugQINApopF5u5e59swkTUAtle6A
DCw0pU91Ne1JQNxH8RJuyUvNZ+EZXes9zmZGcZeLS5m9oJCqZl/NeH5yjIVhsjg5JqF9ok/9v8fX
VDrVldMFGUWfBhwhRBlrSHzt2NDJe5kVOHh2rqcSv2bc5W9uW2rwksR8tscLbpwl8QHYHuZ2GJNY
j0wKUYBPSoUSwJaeHGrTSI9JZxc7N/d+FShrJXqA0XkwE2tmKwZKQHQPixMYEBqcvWgoGJ2lcPbW
vTAeYVHdIAqhebH+Yq3VOT3BtRdEFE9fw2rSzwlDE29fhXFMAic5ccd42updFK2Y9Dmk3ufI+uQA
/vFvO6M5+ua9MCfLlwFwAdh3DQpMUjjNOhAoAXCA6HUanOmcL1n29T+sgiy8BFXKHa28wthaM3xP
aRj03VA/LS6yQjGJ6ptbO3Rd8GwUjknICOVv7ysRQVRDox0GC6PV/rSAWx6jck9m5P7qgDFgbBoQ
CVNozK3crmLPfe81g+MxaJmYSaCOrfGxjiLjZQZdo53N2fM+v/n0QDXIBJ8qE3nwKguGcgUpNSqx
Abg19zlUM3G0G2PPqu9fPQAqtMaYJAAlqq7RU0hEDSLJizCIl0ohZJzTs5jrLBj1dE9lcuOaEmWR
AjFBLacG190Hz2gq18zCIETe7R/ajcn7umrcHbzr5io0iRlTw7JJ7m4/lBd61TI6TQhJYdOjfBE3
TyrkJl8ef5zNY6NWJuvWtLjXnb7UjVEFrVkFJbvwpOpRfLaSJX8ZZf317UsBIAB9J68SbuF2Q7Hu
FZXR9yGfpOkOmi7cQxk6SCv3+R5UYevscAskjr+KgOvSktV3Y1+rNNdKNOvfu8uYnBc92eNS2To7
el6UyrlJ/HNlB1mj9fGoECvGoVM/RZXH2xPbCJWN5fD8+Oy2NoRvAKBAqAWv7coYhKUrDMnOYZBB
zgeAPbHOTi6Gt/tsxHp4ruW4OQoMKw+kRkgyuolBTzJesj+ycvoKulnfCbG3HBB0SfL14djIVm7N
QChmkeRNEgZNbSgX+nTZe62KEz8RavHZUZfy6e1HR+GFFwz7pl8oj/a3YCuGdLDuAOfBMJRWn4UT
Gy+4iT2Vnq0PxHwPyFJmzCWw9HYVGyyvSFFBDShnTKcFxZ7ANBfv0+O9bFmcQ2+GZjlskQC2bldB
w5u+ZDeGgSG05BihcP0SmZBgNgjPnh8vtbkhaFBk0/hXw/p2KbOtYML1WApguP53VbXzNQHXtHdu
mzv6bZmVU2iRqUqLfsEpVL3+oibWB6Xy4kutICX9eENbdscFko1A4hJs/HZDkRZCe9TpYTB0/Vdh
OOklUqbRbyvRnyBjzf3Hy21tDMpQLhFNQVgwVgYxz2ioWIXJa56ZzpduyJo/K2Z88mOIItbO1uQh
3YbDUkYVhleyCTjI1pNYPYR9jJmJ6Lo4VnuaqWj+7Kwh/FGkU2nKHZKYTsKBhvPxHjdsBGI1Bipx
6cBR1og+MS6MHwkBcyXcZKcS5/Wxnxzj55tXoYrOmwGylpHrNeLVUvoi10BEB3G8oItGQeKU9JX+
9r3IYhmjtpIfmNrjrXmMTRtSmWEvGjxV0hmNL1GjJjtAz40TA3zigBpEyofSpnG7ijNFtdsh2ROE
SyqQPZ3Uk906/dvvLvI5IBTxEfAnrKnirLlusoraQABv2nR1Y+QwQphNd1hXtvZClwiYJaMV/L06
sWRJo6TXGicoFlP41eiGp97aRXXf3yPIAskjuLAcmLrOiTzI4WwNaWzQ+gt6jGXlvdCfdU953Ktv
fmT585mxBh1EpMp3uv04KLzkuaLWyKI6k3FUOyg7eP2rnWPb2hCTsnhWGC14BVfhcFfrVu4ZrILK
ruvHsKEcPIFyaIVY9Y5N3/sFtiKDOi7OL8LM2w0pkzLqeoxNz4P755ApgYibfyJneClmblIxdzsl
us2tSfIzOpTUadbWrfQIkSwTW4tLVT9M7ig+u41uvcuN3jk+dgp7S0nj/O1VrzV4xbJMXiRFnb9M
+ojweuGWly6Pk51d3T8cGDfyK4xMALi7Q/ZrTbMURebYsPxbr5bT/gPv9LeoczsfMNE/j7d1f6fk
WiA85BQ0j/zKPxR27nitrN0litf4IIra09Ate3574/DoE8koAjQOwevKBIdh8hTPnJygYgh+OcAX
bB3EOFX6kSqmu3OrthbDJxMlEFGit7WKWSAUdtMusp0giqbcVwA3+Xm+/ESp2niz26OPjMHznbB3
ahu3NgGfsteOse4GMyXpg5o74tzSu965VBufCJSwPDkKUGTpKy/RNkgXNfHiBqD2vcMMl9tRaat/
32wHNKR4jCThA0ntyg547Mck16kFaG2v+H3VF095pe8pH/yaCb8NHMj6JCM4XRuquOuAf0S5XBkR
JwtQiV7aoBxF+qkFwv5lRCTP9ht9hgnHc4b0vZJxs47Zkk/xoYZAnzFho7F1Ll3B/0XLEfb+Zo5L
rR9aJ1w63x573QmwwPpV84Zl+TvC74Y/c8julN5XE0OpQh/txjj5Flet1h1AlkM39fgUpWk92t4q
BoMSSRJ5uaTQxOJFMImuOiXGJJ7H2V5esyL8yoDdRFk+yT50XZL/eLz8huUzkkQhWVZGwSSvfJRZ
uuFgWh2KzR7je21Tp+cYQu5rlNs/376SbLyBc2N4j5z31vKFGxpzLBM31UQl0xWqcqJq7VAZZaz7
8VIb5k8gRmMRqgFgKOs4KXTT3lSTUgmUqIhOIeJhF87gzTTBlCNAyMNjIM8PbN3thsJWX5S6TJTA
qNv57A41c2pN9N3s1T0yxq398FZRbbXpbBPJ3q4kjKLIi9lWAqqt7lHAoWGBGGL4fufctoyBDyPZ
UBk8pMB7uw4dmbjuqzi6Ok5VHZeiK/9w3Kh6WhZnvDz+RBtoC0yOniTJLgEzpf/btYxGWajJtpDF
wIiI7/3UGtXXudYRU82Z17adWPXtsvyklP0FRs2v8TTv1Ua2fwP7pBHFBSCNvP0NRBxNq4FtCYzc
7v5nhX3zfZjV5ejCDHvOQ9vztbALL1nROsfR1dtXd+i1Q4oH38n/f/U8V16AZqWcWaHYIJ/V21/i
9FaqQmXfXBeIP/KDCSeA95XxzTQ+z5Oamn+r+RT+qM1ZWZ77LoIbpCbCQXpSS0slPBIUQlyFpLAO
S+cscuVLl8wKtLIxEzjHhdERLQCcqXxlLMbrP6Bc2ySfR3tQhqPdm4yIZ41aNYe8L5zO8p3ZaQYA
wK0a1MAN9PeM2ONL1TBpT5aXePm30aynr2lrtOmhdxFS8LV+CpujESZoQ9ukscZZmdRfjSnbWZ7V
oZ2UL0y7UgfwG6Vpl3cIqsbFl6SoS/GxHpfotRR9ZAVaEdrxYS5K70uc5pN2CPUo864Gulv1H/k8
q+UBKJMy+rkRe3XhdySd2VeLaabyIogZqiOJS4xeSpjV/SGsYg8cqjaNw7ly+1J5MUYnzy9u3dlZ
MDtWP/mTVWiabyk6WYHpDijmQrZgzP5I78R5Ypiij1yfGmD7T6pqhXemddh7hFXaFPLrJm1Ky0Pl
FnRLc7Xs5o/OnGfNq95WZfmHMrWTAaFD78w/MzON8lOu6a32YWLwyfFTkPS1dpxTJyxPQDziynej
xJkunVWgTXm068gyr/BvFfmLm3hJfYz0xSKRXexc22Pu3nAxyKRT2Ccwobi/joCiskB0ItTCQMoa
XxGeiYAqRMNO9PPLjld2DtaU8SwqeBBurgkDGGxV8rirFfCBunbVc7P/msbaeEhCCfEGLSGeoanU
XpN58T4stTp8QQwy+/jY92ztFX53IITy0YOb9fay1ZPRIBrohYEDJdtBoyx+SvVm3HGmW6uQrYNF
RkxBskzfrmJqja0tHi+rncbu56gIY9q0TbXTkNlw2RKCRD0AeAclcv12FUMvIVHWs+hahCGDBV6l
f5bd7ZdYi9S9uaWNHYHaoEdCz9kBLrZyl2XfFssSKkoQqrjogx6KL7C6t3tyhr9i4JWRALiGtoN8
GojImqIqdfpsdg3WScTyAi/NQbGj1E/L+B3e8bmbvKdUdY9kPO+mMXk/G9Fz5yIo2Q3Rh9zOjy0w
ll6bLxD6nsui+KvPmzOiY6esYAgiUqrDrE5Hq5srPzHMnWdtI5sFrimnngA1cEKrlxqa2myCUDu6
Atf8NuDyfarIytHo2pfC4N+V/fapQC6sbNRTxaN2vMZvFkx2oSfeRlfDinvfLLT5mUhL7BQEtp5K
FpAPtSUT53Xjz2sSewqnMrqqLmo1YZFe4jxneAysoGW/t0MxIivj/mi7EmVD++M4ODtP5JbxcaY8
kJQlQGevTjavI6NI4jm6MmOi/ZNo2aD5TQuU682+AQysbGJQDgVzt7q11MeRWlv4gDEcNcc0azX0
RKI9Ls/NzXCNSGzgpbprlcxCGbWlCqNrPpoRdamKsRNfR+/2+Hg39+ZIBYe/IJWVo39rqFUFobwt
VDO5qo2w8xP1lxIh1CWDCTDSByf9mI9e/MkoITfZOcd7vwSbCcP/cOxTGaO+c+uXAJTmDMZX2VW3
jGdChOwCxadD7LpH/3Zf+ZBT1BJCBDz3vp6DUkCvugC7rgmvvzjUqtYWvtk4yUdHm2akOQVjRju3
fGtNrISLDiaXcHllJEuodtbSROW15jO+zrnWJofB7KGtavLB+iAzzdfHH/LeYPiCv8i7ICKk+Ldy
vU7qGsCLS+gwTG34HtqN+pxpZb7H53z/1SgXkM/TCueWwQ91+9WI7bReJHYJIdroIb0sbNJmb7pU
av32QgiTjswYS0ENrto69i7TzNDmmqWQ1Air51lLwuky9lmxcwU2tgTkAmZeCpmq7Hzdbikt2wzQ
gs6jFc2Kb1h1cqq0fABzpu/BFu4/Em0oMExg9iktwmN7uxTTFYq2QCl+FczI/aDq4l1cEBl7dAh3
FQPKRqC68BxAWGlSr65WDT8uWNV5vGrKgjSgA22Y8dLE+pj5pRVV3xnci9OXpSkKcRnGNkQ2pC7b
PW2Fu81K/CaxE6UfqTu0lp1LLeTfFiYTrjlS1hqzcr0G5RuT+W/G70lwNUtww23ZLl81fB3UFOqI
h/WqZvV4HKZ0/twNS3ONF1358/Etu7vXIJKllB5tIsgJQWncfkDTWxp9yA1xNQs7+rPNPRH54JCQ
oB6sgdoRjPhvFgCSIGhQDcxxwXZzF1MhqVD1ZaOLa6un9XtEbUs/U+vprYQTCJ3YOGPYMemb8xFu
Nxa6iJnZrSmugi5i/aTmS/EpgS1sj3d44wAdML34J/rmctzwdp0GQRhNXYzxahodPRBF9OYlbvMh
8tPe7Wfoz/ZGDuUnuYkV2RkfixoPYgQQPqxc8VgXtdIOcsXGG/7Nta58EkKbLrkVQdVlaPH3kjzu
kOizSE6PreXOs8ilSX0dOqi84Wu8XeNUqAPzZl8tNDmeTL1N/mgR3rpYbbM3jLi9FJ4fn4wfW6dN
6uL09hyL8TqENpr0tVoZxWnJc/Wdlix7hbqNmw3fPdArQhPgcWsMTJREXO2mG69ZZRt/62VvXgcC
/uPbT49hEHRHJcoL0MOtqVBisSljKEhMF3qKDl+sl+TT5ujU7yoF8qBvb18O1kGKPUyMeTAG3C6X
61MdT2ZIYTOSs8RO35zrcPw2Lv0es+LWHYDum5K1HFK11jxlTBxDnZZm01VdpuUHaLD6bxHN2vgE
l2+enPU6LbUdS9xcEhCjpBkHG7Pma6e1LsbSyqdrRJn+KTfU1vZLL7X+6uu5yBGgiwjP/8N5/lJK
lyxHzrrlmWuJmtpOOl3tUhQ/bG2ez9Ri4AIbo27vBbh/8ChFAjglmabWSkvj9tuxitMQUk3XXh/S
Q6rgo32lLeOngXz3dSod8T7vy/bgpkZ1qep6r1W95WNodxE+SzzQXb1As5ZC9JRbr9HYCKTgwuLS
F1X23M4/zIHmpd+5NHsBF+rLzinf10vkZC2fFGIEWSVdb70eCxjBZsx2apqpDxCOj5tDZcBAcShF
FP4vUiOR+GbUlh+jrhOvmmL6NQWH8vDmz01uyW8gsgFi6a1exrmRup3o8vAIp/W5EQtym0ryU1jh
8PR4pY3DluEnSoY6oTVQzNuPncQ6YzBOMl1RmZmflcQ0vsdNV52LdtLel6EYmN1R9BOx3h5KfMPv
Qcguhd+JAsjiV2ZWealqUIWdyCRqcZqMPj0PWdju6A9suHKiUNhR8EKyD7LaH3rsRc2jP12buq9P
pVaVH3pnGE/EdMnOq79hPZJn1QXFIQtE5rpTq6SInCllBLyitafpk553leODd0tfpiJTxkMXxm3p
G/HM/KIxoYN2UAxGpM55RGd3x4LuvyveVw7TU9QBiL/+LTVSAZobR1iy2v4oveGPwbWfu3H6s2UC
wKe47Ifm8PWxLd1/0ds15X//rQGPLm/hUYETV0VwQWtwiZBBNMmOxd5/UXJrKh30dcF3301XuV2U
oCgsH2encP6om874y8zSJvFDN5z+fbyjzbVAjEoZeB37WdmoFrXENfDEXJE1Gw+qOU4nKtfKYYy9
t3t4OTVDZ8ugJcQrvYoZjcTJy0hnW3nYK09zkuZPtlqU58l192xj4zvRWZUFCohJKbys7gRx/TwV
8UhGk8TZuaPOGOR5Fe3gmuTZ3IaKbAguFvorOJa72XR3njsjV6fx2jtMLuQlo6Hxh1pVM3+q4goK
u10ure198XZxCdEzW2t/2ErT62rPEfYjL1MCgcS7SjTpDgh70yaAYVBzpDbHJbu1cgwBrQBoZa7t
AF+VUKKJGf8a4LJRvnnEBAY+ScFLb5ViM/WI26WiUHVjk9rAtR/aAepIoGENneLTYyO/D2eoPkDb
zgwdx0YmcbtKQXpWl5U2XhtTgJ2xeh/R8ezQoXntFwMZ0n9YjnqzC6xFwiXkz/nNS2jlaAw2Y93X
ZEzdFzp848du0p3/CVVTnigvzTvrbVkF/Gq8cYSh/FO/Xc+pbCjGMjFdw4b2vl9D/pL5iTt0bz9G
/nxGaGgb4/zXsYMxt0C4amW+GhCpOu/cjoHFY+42Y8dq45LAZqVl1fPjw9zYnEyLgELC8c/oujTW
3w6TBjXFlUyoVwrhYIzD5lsCicP58SIbFk9c5MJnRiGEF2VVEmjCbqZ62apXs9bQprZj+1Un/Xo2
G7fe0324Dz4Zp5JTyrLaR7q38k1LstCBjFoBstjOz5OdskLmJssJVRhbShAnI3zH43BIEyX5PrfW
nvjN1mZ//wGr25CXgxaW8SCuXcNkvpMqqW8IZfqoaNX0Hz7e70utPl4lCjBQWS+uRJ10vL3Y8I0M
LdLHX28jEpAwYKJpeNLpAq5PdHadUWtncc1cdzrUWIw/RqifFt2cH8pY+zsdUs/venvHarZM8/d1
VwdJe38J23EUV81KaTMaTfaCdPgelH/jlZGAEMAN2Cec4aszNBRefTOmoGMi23skyI2Poa2FzC9V
0b+KKkJ/aBv3+PYj5f38ZaEUy9bF1Bhqr1m4FK68os+/zflQXs1U9B9TuulnHvnukNhd9JHm3ZuR
ohL/whAy0tVQdBCT3N531UW9us3ZrkK1+DmKxDdX1O1TQj90J4D8xXaxer9ht5fQQwiz+JAruxnt
Ii3NhHpLahbTRU/6CfhDm8OwW3jusYgW7SBKA7GK3OwuSVV6Z9ONvUsaUV4wpq4/aZHnngB3qYTd
vXMOl3ZvNPdXFHv3GxnNBnNLjEGv6vY46jlluMaMR8ij+9p3taJ4qU1KDW7WHL3eiJCaTawj/FH1
Oa9I2BGL0wNEN3S413rltNhZ/eWxaWy5D0YPqQpQkwMGvYoOtK6wtHZQxTWtreiiuGn8VV9gg1pa
b29OYtP0ZfcM108VfE1lNheqW8DvPF6dhRLmOZmKogLlEOWt71q98aLaSjge0ineY2Hdutk8ceRu
9PTlBNLtqTMznprOnJGdjnbXnKwW2SHfmqzF3OlqbS5EoUUWiIEsrYtWaICri+4W49V1IYRIUerz
WyplO254I/4h35fMY+TaBAkrI+qZsU1mzxyvVWJD2TWZCxFd11eJj99Edspu1W5vrGrLTKQeCJ+N
U7zj2LJaIDauLPrNo+Z9FaqYuWbJ/E4jMNrxw5vbc7FEOScB5mnlIdOy0MohD8W19Er1vZGOkLQU
ul34qojVF32K91pAm18NYK+cipUSjfKJ/y0mqYWtaHmVyuLFkoQXMS955oshq/Y4ZLd2Bk6VJjXD
pOhFrT4cM2NQYI89OS7IFd23Mo1YfDDm6RvUk2Z9rpSu3iknbC5JXELgT652N9OVL6h5KQmpkxdr
8aUdh/JL0qjuFd5z41NHP2jnBmyuJwcpwIpSIP7FHvzbWbaizap4IgMoWvOoNul8rhGSeFbs0j6Y
7vj5sfPaXo0BVgAHEp20el302vIiOwaOahTwuKNlvHxtOqVjjMdGb7Bb1J31tiyFRolMogBCUe66
tZRoKTU7cT0+INT/ml+PJTWKOTX/0zI8m1T2mNNfS3mWQ5kuXkIHr+367FOmddMHGDan//KpwOng
QoAgAaG/3cwc22KpR1ojmtJHfymxnZ5s10m+5+NYfRuzbK95vHl4Ep5KpgsWew3w1cLWHAV+5NqN
c5aelbBHraIb1e6Px0ax5aqk85B5PBzD675LplfeGOfxdOXtdE92mdVniGn7AGEr6/B4qU37+/9L
rfPdONetxSopv8ILmBzo9tR+pA3v1NB8bvpdRuOt95PzI2sikcc4Vu5j8RBVqRusD2o5+2ks6+Hk
daiSClgyTjNTTpHfUSI/vX2P5FD0q1mTO23cmoleDkyOpNwxF6Gu09j10bEbW/3dEoOr8CGS3JMN
3cqouGGS0IrGPyQmtwvWVhUqYuH7AeHRkXApufx+JbT8zz5s8s8jcz+nPJuVVzmb2Pq1Urr//oct
SwYo+ls8Qeshqti1lOn/SDuvJcdtrl1fEauYwykpdaK6e2Y8nuAT1jgxZxIMV78f9H9iUSqx9G2X
D1w1tiGAwMLCWm9oCpoXrppguiFKT1UCZ6IEMIFLdfy6k7apt8e8tmtBBxBdpMEo8kfns1YqSxkh
mczhOMX6EkR5bn8mQcre6oJrcmffXjuK0HxBg3k45XAfnQ+WR6U3RyodCxUXjq8dZ0QJVMWZ9jK+
q+NIs2UCB9nl9jagLUlB3u4oZhcagNYKt8oxEd1OILv2YIS8SX+XlBrsw+YWyLrEaBvBKE68iE/u
utQPY4vRDcYz2XrQBqN+ntaK/LK0o50S+pWvBj0RDRe8OWmHbvX9m1x1VpJ4uhEAITgcnhVguRP7
q9KX928QCNMsIuBYLtctUEXp4sJw6PKELEP83THKpfQLpXSOWaUPj3dvRvppUlEBuA9w/02ksZYB
3x0tJceL1hhRuXjK6welUNfkRddEt1cUuhLYQEPCBsdnTtoHbRKweHIXgFGwsyOz09wgIoP6k2RB
0/1RNce/pb/U+mi7hWPulEav7E+ON4hVriOMILdNB1UVjavFHHQ0g/OnFp2917iqi518/eooFIe4
anGcQ93j/LTRVOqUdWCTgK0on/NBj4OlSvf0y69sRcnJBfIDf0bHQPN8lMop16rqxjmsO8v+vuhV
/9qDQfiu9BUD3t4fV+49nozUQmk6Eqq3dITc7ONOsT22/eigSJ4OphV4kYXO95RmnX5wW0u7/5Az
npQEo/JLv3OzR1xvTrHB5NlBn76P8Hws7PWkG0VbBiOwkZ+Ct0/qV2WTlAH1sGFPu+va8koGN6o2
UoD/w0n0P4mtBr2mVboFBYGiKb9MNfqgh6TFBjWw+2Fud+LKlRNBDf0DJkxJHUGL849J+SFzFzD/
Yd55AkHHpFfGACvQtT5qub60z02dNe9O2mjxw+1Pe2WzypcQEZs6PpLNm6NfSu9C211UOD5GeRhU
J3t3etu6F5aOTitnnSvooxCwvWEzPEFpzlsqeMWuCUvVHB6sRCoOqsLdGeoSmsxYuKsTyvhylIc2
aynMvsNEc9DC1KLA568JFVJwJDE+qmCRTqg0LPOxnLLSDCgAIQVfRZUiaYJD4mdC6/dUFa6tMIFV
5vXYwkC/PP+22bLYCRUpNeyQAvTHTBVHXRn2/K4uR0F7SzKYQXNhW7lFmnedNZdFNqrhhJbe26gM
7pPmoNJ/e7dcBgKwu6RosrjHG2L7Hb2kBXdOhTZcPJAFs6eVf7X1Mv/R2MqAmb2Z/n17vCuzgrMq
6w9ImmPqLP/8P6ewbnHrpAdthstSL/+ivbssh8Uzkr3E/jKl4NqjukL5GRb9BaQj7XVMNfSqCtM6
NV6FPcYnu1KS5yKL289ZEVnHLLH0R6OzmrvPH8BJXUpn8dUkuON8hmJ0tLYyqy4ssyg7OtZKBx4R
Fu/rvQsp8ZnomJNs4jSzxefkhrXAgMWpcrTb7AHI6PS6Gs7eU0xu5fNyJ4ROPIkkwQXY0ZZ9otld
56nT2IaWYg+HsnAKv1us3wBimVQ/qqODwprft9VnPsNftyd4BdzA2FKgn5SChri6eatbXWaOzaK2
oatM4LwTSRQpXac7wDId/aoexgejqJ0DdXjvYBVa/dVAe+v+rwkulfyQfgaX8hYxakwUgtZG6bmU
13T2u1Qd88Be+2zP6O3yIMrsSaZsvK2pfm8ORuqAHutLZaCvpjvfoZgNy8GOF9fDLtRcxkMW6+36
6fYSX16JvLDJn6i5U0O4cLNtcnNWzLaBDkaz5BNYq9r51S1Z3hzmktbvThy/HI30Fw4yTySSNdhZ
5weDrlBVEhU+Ohf1ozGs+qeRUI2aSrVbp78ylqyLID6LzboUvT4fy2pjz4zTvA7dKUuebDuDdVqV
xZOy6trOTX8Z0ci0oeegj8aLE+nh86FSwtnECtdhrbb9wWrm4es6Fv2X25/qcnswCtK+cAMktc7b
bA9Vb6sohsMZ5o7WHaraVk6x5YrQXVPlS9n12g6W4sp4PJsJLNw8WBxuzeXyZI2WUU+b0OgGE6H/
1CgWXxEx7t6ABPIsiC2YnQ93T5LBeD8AH5KJ4ubEQx5vSyO3Gy4HB8HbYR1fBuAVx6gZ+1Pe2NHO
/r/8dB/SMcxRuuVCVjj/dEWejJSK6aphvPYjMwblIV7a+Xh7Upc3Ea0wKTIGatpGcG6zP+wKXZDB
AJWiZr0WJCgMfGnQWnms4uWnoyVF7DdO5R7pOH+7PfDlGSBz4EXLS486Llz289lVsalHiK8AQygr
sb55PIx+z1ptEe9gZY27TwEBmlsPTpDEcG4P3OxMaQ3lnJpdG+ehsaRJ0FIq33nWXn6w/xPPkm9b
cJpbYeSizUFpuckaVtMczwcoOW4WIGg+e3fvRMiyIBxA1AO84WF5vnZpNOV4IY16mM1zeSrdRAS9
k7SfcixID4K7cuc9dvmtQDuAp6epjDwJ1cHz8RQrzmwsiIywtBXdw0rVqJpgjrrWezJr0/58787A
a4FjBiSGYgSSKOejWR0g7IxzHTpdrwcrkgAPsTUnb0OhKjsLeeUWJxUiVQbryaG+UMzupkEvvCUZ
wkpExZOb6ZCo8mT4a9Dhq6NSmIpDPTjKQYLR3vOxSSuoJsZiHG9P+crOAWGMCrEkUlKF2RwGxcsS
hT8ZQT7k9WEYilx5tdHB6nZCyuWHROoKdCkJmZSa2b4yUz3KqtbKRYjakEkTSqeNCApeeU6GSdu5
Ey7nBH6KYgG1JOgzvMfOPyOQCq0cUYoOjTX2DrraTMec9MS/vXKXL1mU4yQnlF6GJKZtNgvGS5ku
sKEN27lW/pgSd17eB8qBj3k/xb8DecsURJatZc+uQ/7689QTjhr1EKiFvBTgxp3PzrBbzenqZg7X
qdUe+2acHmEH58e+zvN3BS3Fu48gwm4ELtjr4Dy5+87HG5y860nxiGDJUiLHkA0PVd+bhxQezU5q
e/HhEO4BVQ+BgFPBw3Zzz4lqtiZYPAZLioy40CbnoRdpfu+Wl6Pw/oBHRtrFJX4+ocQq7Q7MkhHy
TvpXc1vX10Vz9+3GIBIzKFGkhK5t6ZZ6SotaZ2pDdK2T9vemdLoyDjInKdNHbantf8qx9ua3OB/y
6ilvjMLdSVSurCWSfsCAKQ3IJ+wmcrZ11uWiyNXQo2f4MKiKGxh6ou3UGS82o5RIly5/VDwM3lyb
LxZzNKAZemooaA+9puYMF05T+v7V7Nr0uNhTPN27HZkKaFayVwrv9Ec3hzuNRIODhqmFuDckP/Hw
cT+Xau6+lbWe/3H7hF9ZQt7I8hOyYewLybnB4iHQRK4Wjh32jNEygPyEqLNzd19ZQry9aGLBhcNI
bKtxk5plRI7gWGHe2/PXJFW1YK5r5YAjYHl0JqN4uD2ri0hMI4Z3P2mCTVLOY/x8+0dDsnjT0lsh
oty2d8yNRqPq5jag/rXVEdnz7eEuF5HrG0AHRSGeihQ3zofz1NYYhkyzQo+MARfFTsd8HLZS+/N/
GId4SM8XFCYKF+fjqOmMqiaMq3DUMvFeph1ZZFP3O9fY5cei0AbkgEYlbw3Cx/koUQvTtWkKO+Tg
PXdqORwUqwlbzVUOWdb+uD2lK1+KG8YmOeZeljSY88HUyG1TtxaWtK9OD4anFPha6hWy/e0e0+jK
ULiwUJYl/nK1bNFscTS4nrAXJywUAEV/lYZT4X/RqChOpyNlqZ1E68oy0ggE6kPlhLbgFrY3isTJ
LeThQ5t69gvNL6fzNW8oHu1YBZ4+dMpeq+LKBFlEsjoiBn9vnzSNRwZl240b2vU4PQxKNj5EBW5m
k+juRhTJbpakKCDDBUVsC/Mc7MJq1GViqHTA4wOFNkMc0bTBhrOuC3Unzl+bGLA7CUuhfM2455sE
aYhKLKPthXqEgs6otL+lTlo89bq+c5CvDMTEpCQdVybc/00ekGpdbGdCRGEJRSGcU1dYx6Hru2/m
ECt7dnpXBwPpyF8ALEE9ns8KbllRJvgVokZhN6afRu74h9IXoDnAb/959zEDQyerFFxiPAo3E5uS
WE1Ix6Mw0635MNdN/dQ5QGSVzj7cHukiZeQJQ8nMkFQ66ba2iR6A+dvGabUotLs6+0FZ3zqhu64d
q3ZeDn02rI9N7CVPtweVS3WWL8pBpVYhwvuUSbZNurUqbOx2GbRUDP0hd+jfppm7px9/eaKJH9JL
RJXYKHCxmw+WEp2EsLjF1vKPelq/A6dGQLXuHH9J279uT+lydzCYK+vzVLIhEmz2fBa7rTKmROFY
a6Oj1lrVMwXh5slYs2QHZna5enIoiQ4B+UhdWc77P3V5S3jDuEyKBc06XdVjxL+cQRmTCfftOV0b
CLQ9Oo8snmw5nA/UxGbSRWPhwCA3l6cisawnAsyeicnlDqSPSqFMVuZ4tWzjfEdzap7d0pGViMLH
BhMR/ubPWVefrcH7BGns++1ZfXgHnu8+eB6QgYEFAlOFTXU+rVJp7TRtJydMNfE2Zt0haxYU7CG+
iZOnjg+p2aNPRHm6Xr03p5rioHWMPaKL3A8XP4I89cNQheC/OeFQxAhZ0FRDG8073DuKtgh0qpNP
ZZcgh1kjxHzIk2bxI0eMX26vwJW9CkZc5gvS9IsX1PkCZLliWkNUO3Kvdj4YGOUJWj1qbl2+Z3d2
bSg+qlSNkNieizNYdwlOuKsTZqDhX1w9tymh0QKspkjbiWRXdisn6oPVCOLtImZmTeVgGsOK1l3e
/V3C9/m3c9q75R9J54gm3DjApVi8zdrxOBrsGjOvMJ+T/FPtTMlbl43KTjJyORfGwNKQxICTh27m
+RcqomYtrHzJTkj7GrCtmJEamEk97ckuXhmIhFvGSTYikOPNEQf924qpM7MTkBoVSQilOCAAqPv3
bjgq0xBOGQQ8HTYo59NJlYUsPLay0zD38xFNhTUYhak90tHo/oeh5DMCkD3A0QsOhJHUC0p2dX5K
CkfLX2bbiURAU2E1nqo2KvdI4Zd3DCEEM1oyAslX26p0jiXitdzK+Qlli9r2195oAqWzjLe4L0Ds
laRBdwdlOaIUWSLXIIip52uJU0GS5+2Un1jmDpt5bzlmPKB2bujLc3s+yqaoGuU69BhtyE8gIDx0
fe30AFty8Js2LXYmtDfUJhzXSlt3Kf4hJ9VqhpO7dvq70Y79p8VZxnsr3zQsMMjGT9aS0K6tf2fl
NDzCDIaaYxTL4mxy/B487k4guronuFZkss2G34I4FYqsWT2o+UlkquJjafk4Dw7iIPbr2A3N3bUH
psSzhb6FbC1vIwUWd1bWN0Z+msixA68UyzGKxvTFzaa9D3V1XrYEUpB4XILi6rmeS0JWfkqN9a0o
sgM09Zcx0aygE9EeDfnyfqToLYsPOqxTCUE43+ajWEqnonx4qlcr+e70/Wr4Ok4mmp9p/WT4opJq
Gt4sxvmwFs6u8OG1XYmQjZwr0R5o8/n4jQphwCiL/NS1isG+t4cuyMHJDYGgyrNzBK5EYdlGIyvB
nQ5CtPzz/2R0A44bRZdxpgcUVN9IuOtHiuvR4+0ofHUUoMx0rXFvBvd6PoqduPY84nZ2SqfZw6Db
TJ/mQexVGa8sHOrIZPaQLhwqwpury1hUndqKRgCuUfZKI2dFZDpyUbpzdllo18aSiBGJYaCyqW42
SVKbZREXS3ES7eLpR61s4j+dKOpXfxFePQdjU3NvVo4N/6xFfvffCjaSFmilo9KlRxL0tVas9d+x
q7y3OnM9xeduV82783Wg3IidEQqIOvSpztd9HVVtVIooP+WUuH4Bam6P06SMf97+uldOJzgn6o9U
PsFObour2ay0KaqP+WlR7N9zI31ywXMeVjwP41zf+8jXthI1IJq/YAPAI20Wvk2Scq27qjgluls/
tGMtZSMWwB47t/nVceRmJVeVTM7N69Rmo2q52xanVomKQ4Kcsp84qXm4vXTXthF6TnLZwDwA+D3/
QG0yNekwNsUpbYy32VQUnH661RdLfP+Likc9GAfZOgd1tmWT1ZbXKZMwi5Oy5tOh9JzlYSmT+eH2
fK6tmvQpl7otMkvYzKeommSg/lmcKq8vD+VSCMRZDfPX/zAK1wvBUXZHtgedG9RI0A0pTgAl64fJ
zbujOYL7+f8aZauWRvFXbfRYKU4wvNNgEj1Z6rDs6WtcWzHZ1JWeMdyh29qOEzPFpGGUAYnYoBa5
TiRAd/v2XK7sM563gAv4m9bVtgk4WZVijnW+vCxl3GH7hvOBeFVzo/y6zLGxp+98dTQZdGR7SgWR
cr6rnSRNTRuV1pd+gu/su5VpB5GWG4c+NdWf98/MlkAQCpo89bb6JIlVRBldkOVFb93hEdRwXvg6
6/lTKxKxc43J333+cpZ9VN4joK9lAWQTexp1WirRWOtLkgH1BlIw5MNJuJPaHHM7Ss1jrhStGrj4
ve4lJZfbRPqs2J5EoNAZ2Ya9tVhrExS7/mLilP7dmtBAzCwYD7cX83IUWE7IqLJXPEDB22Jt3s0d
64nJhh7b64MeLfWzqonmXogXoGOZC+CxIqU9trmwolXdGpsjRo5oXnyqsVx/HpVGe0Alfe+evvxi
8q0sBew+noFb5laMn+IyO9LBryidwGjs8k9dac330Yzdg7Yo2l+2MO4G6TE/bPzoNNLgob60yXZ0
yNbLnDM/+pjp6tujNx70hc8XiBQEvSOESHbO99V5wv6klMpEqW+enzi3iSDsSi9wI51UP56dBEIm
5g0dhpkP1HQXP7Ptr3dvFnIL9G9R0zHMi6ZuOUaW3k3YUaSzPZ2UaRjfuYjvtiGjjA8VDrCjLLOD
tDmfmUdfzilLlVESBfy2nepPRqS2j7fn8hEmzo826mp4BnBBSnrFFr/guWmlxgoC6kVv9tNveWIU
FaLdddd/LYHQpc+ynTf5ZVoPwo+gN45TsGYmqm9WqyJLTmZeRkGvLfI/6+k0v3kp2NtQTVpn8g2v
6oqjaRRD54Pr9yxUB9NyDAD253vX1mXwZSZsBNnqhlW9vYJXhKhq02EmfWtg3IZxgfkvPsr4mPb5
Wu+qtF8JGfKlBAhdKiqhX7r5PtFYeYlVJeFqzbZ6HBE1a588NW7dRzvqNe0kJpSzQ6GZo/cN5bwq
fuYXllRg1pTqPsq4VQUm2VLawFgw4C19K1rWGIFEZfqqj86oBO5iRNVrOnb68Dbk0ZQFXa/O6h+p
XZbRs2229YS0ACL/36ah9sTdLSUp+Mf7iMKlRot9E/StpVtbtVfzMG9K3tHDkj5UXly89ZTRjrd3
4WUizaUJUYmCN0hqEpvztcTnBEmXrCvCwTNnWF9rcew6VwVDwO6J6vVu6xpQ+xAzQP9Rz4G4tzlb
buPlaqSvRSiirisPqxUV7mHAuuKLrmeWupNPfRgqnJ8x2J6IxgOQxpMYGfnz6UU0HOlQMFyJCcZQ
+evYGuMPF5CecxhzCt2Vj7a150C4MZEA8/ust+JgslS3+YRlOyiHTBvTX0ZnI15Lp763H/Is1oxT
Mreox2CX4VXfvDTT50MTO/o/+NBGJZRqq4JzHxtKcrQHarW/FzqPsQfFWOFlzAlP+zerEt4/1Jva
zNf5PV64jovaPxYoOIudb3xxXtBVoOcloYlctPBezxcBkmmVLXWVhWIeTH9xlOyQe8UeUvASUAfS
i/1KWUayeem/ng/TN8OaGyaUtw5/lOPSaQgnW5X1kHVR6Ys40X3MbvBDqiwEeOguPvbLmu7AYS6n
CrUXP+gPKAwlhs1vSPq6Ir0Fmo8Yg/6sTVH/m5Yk/W+3D81FvKOshsSURCjyvoFOfD7T0UPWAbGK
DlnQqDks7tIEWRnpj5aa7HVOrkwIZiY3O0hF6cy6ed3UtdFjfWF3YVPovwYrN5FwwSPm9nzk/+Ts
lDAfXp2UomFiywLb+XzyMmnceF27kKOQm8dm5YgeIjO1jIPS9pP1rFI5sI8TpY6/afHli9/3hrJ3
i8hvs/0VaJswPPw0ZrqJeghq9a1jI7ddtnX9ZqUie5yzcnrEltECtDs68WM1u8U/+WSrO0CjiyjI
K1Xq8kE1ANREI+J8ARZqqGaHMVsYJeN3kZvjezT236zWNV7ULCl2opI8b5uJSo9vbkxeYdJu/nw0
9EwjU0nTIVTqzn6KVAPaeZPVaOqndRn1wTJVgvdy56578fByntA4ZZ8dLT0wxFuJKLTzLCyMEEAp
OxQ6nycnZ7qtriUPohVN8dJFddvuRJ/Lz8qYsh1CRixxcNvDUuLsNmTRHParIGspqklRX6sOj6v0
0Kut27+KaFjq96ZJ8m913a/Lw+3dfXlayRN4sZO3IYpF8ex8uaVihzbNttQh0qzveeGpz6a6QrvC
3W7n4r48rUipE2rRXiZLpc17PhSRUW/iCDmgQk+nr+aYLe8L0KGdx8yVFZXFDkChUH6hrG0mRA9L
6dSCKGovuaUEiHypg684sFiOVS2WLsQ6yok+dzwSha9SaS13ouzlNiLxAknMDoYIiLDN+TTHUTP7
ooaxCpdUkYWQ3O6DOrbL9BUCESKdHaShPQ7G5WeUjwyeNojKolWxTTI9lAPB2/ZrGOeiPsTj5Pme
CiwQvse3ezcM0YciOKwnrIAunOvjdR5RYdGgkKaW/YQoRH80Wi1+1JrZ3Hn9XoYCvDJp3bFBOZG8
ts9XEpybWeVLq4VOYUXodI16D5ll0b+QGqZfDE1Ub5OiJTtH8spScg6RVoWCD6Zii/6y0EBa1gHQ
qDf17hPiH9Hiz2nbfU5q9BNvL+blZgWtxHJKu1ZC3TbkOFIErWgtPVxLCun4RGgJz/wEDeKHVrqL
B3GSj+O7rZXTz3iqtb0O4pW58jKRHPn/gyZujqQT6TnkXTUOTWnxZS504vEQmp8rDCF3ziXgXj7X
eWT/qDNIs0lexuQY559TE8NSrfFchlCQRPVeKyIb/bi3klXz7QEFtpe4E2t2iDWt758Jl6oT6H1i
Kr8XVZrFX9sRCmpogh74KnoECZtgslcVLbPJrLL+MLjRmh4dT2rVpl4mim92ZNN3FYXfVzxQE3bR
N56VXSCT3WCdY9PxR1PJH9DHKF9yLnf3IZ/b/jdQEEqQ20gFlyL+wzUT4ecpwg9YezuFhoQ7ihC+
KdoxqAurGPw+78o6KCfbOfT28nebW/UrrUwn/6SZqWZgOiWyt2pw5ifPKsznfrCi7BA16oOjeGt/
xCYvg2W+Dr0HBA85XN/uIqq1amNoWcuP79xPXdGILii9Np4S3wCB6wa94jkvFuadUHaG5VQa+rQE
47go/3aDIE+PISf/kt7kUTCnmvdWucNDOoFKQgq+9d1RK37rBoP3nbuK1QgcLlQ/Xtvk0UBmcgx4
z7q2j7zZryrSDH/QEeSN7Mk6uqSMs782lboAR8N5Y4mMFYST1RxSJ+aYuCgZ+VFkz8GEK8gYDLX9
YCwF2pFmpR5crlElgAQH1LzK8Kn9a+Q/+GUuLUadfbfkpj96el4FRpYk2THvxn58cdGxmgIEFJvG
F/nqOU+FPkAqt8vIGh7TeC27g5EjR3LEtSPWnqgyRT9MdU66Ax9n5ARX4zjzU5N1Lf2kRxEi6E1V
GZ5HLa6WB3Up134nel1ed0BqPhp5wAF4isuz959OXpunUZ+NcR0uvcijh9x0MLvpV3c63BlD6PdS
4YdrD2caQP0mSo5mlbgiypawrLQIe3uj9bNJ/O01uffVMRZItnVkfo6r6e4aNhhSSE/UeJFVhOm7
uWnX0Zob3CyhXvRuQm8NYMVvetZnpj85av/19iwvVpOEARYZIGATuR6C5flqekmj6ZM5mqFCWfZo
ZeP3oir3pOYvUn24PzAYKZLTZ0J8aZNkx/aSqWw6lwsnRZjSoPYUB6u59kxpLdzP6uLWUeCaomMz
N0pefVKqRk12MmA5lbM4KX8FbrL8ADBwF0IFtVsbCt1ZN5xNlxZ+rNLU9Lr+1Woy7Ng9bDRvL+3F
JUAsBgJBxovzNbF5k7BM0zigkTsiTqf1SKA68Zz+lVSR1xzoJLSfbw92+R1BccsyBw11qaizuXHU
dmjVhBJVKPQqDxz4c4e5qvcA4xejgOeXErbSggYA9/bsUSy34piIGPZ1hqWn2cZ9Alshqrydb3Wx
dqg88NSFrOwwIg+h821p1IWIorK2QgW3MTsozDz+JoTR/TNYc7qD7r8yFoBtbmqJNeO4bwLKYtUi
Ealr4EnUt2uA4ltvPy9ZoWsHrEp3xWY+PsXZPgQDRi0H8ULSdfKhzWlQJlkYK0dqpnEjRmqmwot8
NS/H6d2LEjxdl6z0voChSdMnvdUp6lurW4oXq7TEcOgw5bBf65ik9GXF+zLdWfmL5JBfR0MTJwX5
LGdhzlfe7eK8I7OBKEK1+4gVVfLadeoMdFGpqWjNTvNadtDRdqoBF4dTFjbYwBJwBYRoKwY30xyM
sSizw2VOnMey84rpRzy3hfM4NpGojxQr1ntBA4iFk5BSDaeHi6fXppdgZHkOT7dRQjGYdtgPU/YC
cPXu2iOVGmizoIkRFgKht8nORit1Oy3KQOrj98JntoZvzthGb6u3a8Vz+ekwcMQyG1KAZN9skaBe
OfZD5bQeD8G8+DKOjvuYVIP70LpTf3AGNfrHzvd0KS6/24e7BRckvTSpGXa+XcZhSJuFDhEA5sR4
47VUYI42aU5xcPtFWR4TpSu9ncB6kd1TXaUpDtZDPu65oc/HrGhWVKY1eaGlac33YZ2dJyPtygD4
Dd7MdlwUT21e5H821aDdm3x8DE0bSOrMIyK4OR1lO1GIFaYXRnmkH/GGNo5ePhv/yyh01Kj2saIQ
r88nCCEr7dXe8sKSwrU/KZHp9+jS7CzjZdzDTo9gTq9JVsXdzf6fVTHkqDB74axHdYDglHvomqk7
2TU18jtvJ5aNAXieUB3lHze7xGlmT6w2kN6+zLQ/qS02r1VVJv/eHuXavkCplcgFKhV0skxD/pMZ
OkldD6sn9z818PWXg5PHu7H21fSrWBK3DxSH/PfBRFcEzUNFK3/dHl7eSedxnW455EtqmiQahJbz
4ZemHtV6jD3ukSgN+hKzEnUd5534fJFLsZSEFLgdjAENWf6K/0yyWJp1QqfEDQv0McyDnTg92Ll8
TUZ/LFQv81Ncsf40mqFd6VXCdAQlkE97KJsrvwJUiklmQ9UdJY7NESRFhazIMyvsR+FaR32cq/dR
XRfVT8zJOxn9mHh+kenrekAhPNG/m2WCFfHdCy6leWmWUhLCW3PTZ9GUmugw9l7oLWl1NKMIZTGv
GnZGuRLhCG0kIRS9oKRt69RK5EyN3rkcRldUPh7mP+tIS33NqH9qi3P/PUgPDvg7IVO2Gbd53JJG
eragJgpHTqhv0DniJ0C6w5vRYabmmNEeUfNKEJClflI52XyG3Hi+nZo8Tii7ZVEoML5DigByUjal
nu909rpTwPtYqc0B+cgbYYbgOQm89XyseFZRFcGt89TP7tofcu5MKXeDH6of55XxeXbyqHiwEbb9
V9TIEbzbXuKmvtKjlVokuhBBYqDrfxDa1IjvdZX37Td1zUlEExRyS79q3MU5qLEXW+8Nyzu/azVO
9Y+r6cy/yHqs8rEU1ZgdBOIf6mksB7c+5EtEi27GU3w8jDamE0+laNGxNqYeUwhdcJZ90XbD2zQo
sRlozpppfu6NcfbJHCsHXIzV2eljQztjDjSYGMNBgJl0D0UZGeZx6ufqr8JBw/9xjTtDcEhNUQee
olk/BC7TlT95g9keVJgoIO+UOmufFsNea7/17HhESV4GZy1f5+VlqhxkeZ2GF/DOHr+SOXzQF4le
pMAAEM6/DBkZUM2GPQ7xeTmigDFVNAjV/HUc0/GYu8b6SYtyN95J+q5ETNAEtD4gr8jK1Wbz5RMS
lVMyKKHaeWn3TcVXhK0w6Uq5k+pduRl4yUM8lQIAtGU3TzEIeFOidSI+JW7UfilbEaUHaxqW4mno
IjdPfJ3O4eBblds6n4ULZW+nIHllprzNIAMh7k2TaUuIwvvREU4bwwEcx+xbvajm0aiFvVMLvDYK
vEkpIC6P9JZ1NOc2rqccqHBazPiYJnMamGZ/d2sDBQwemBQNyIDoBWzyBs9rKc/0UAt70VWTrzvF
+oTazRwHSlvtmbpd7kwuUuaD1ChELpBv5zsTH0RzausyPvXxPJ4EZkkHMbMni9JInqmS1D/wuNrz
db1cRxhbKEPSvCZbuSDnd+vsFbVw45PGoyfwhi4mPWrvxsRKFjRihpRfpLLOFnmbU+fvRGLHp7SL
tWezdPvfPToMfqJPFD9vX5VXlpG8iJYuNG9e1Fv5RMq/MXgfIz6Z+RrU9vAXCiW4pNTDs02p5eAq
Owfu8lphbrROgGBKAZGtUl7qFloSRXly8iZXjf24SIuAXp35zWtJZm/P7fKC5kKhdysNknhWb3d9
nNfK2mJCe7IGh0bGOv9A1+nvyFaFDxdqz5/oA9R5fotRnsHgDDAzVUgaDOc7cnYQJ2q6SAknt9Wy
YJRFwtC2RKwSslNF/RnlgsiJ0naSBzGgIYSbgXbVjwJhJtXvk0IzH7XcsobjQOfjJyLBtAeGSa/R
UqoHVwlsc6mbv28v0pUPIqWU+L30fniFbkKtjea5Y/StjbQ7+u70uf/OgDC9pHqxkwVfhlrKGjAG
iOYoRVFBOF+exeOSEl5uhwPAAaiIdHe+cFXPU5AorvGOocIYzmVrf2rNpP/r9iSvjU2dUcpcwqa8
IMGJTh1hVMEQdmP1NDlCD+y+MOhVaBiIZMimfZL40lewWPXdkRfhSSnki+TzR13nfNauWeb2PCE0
wNs3fcgGW/WjyvN2dvqVj4hgCFudVg+omi2waKW/KVoY0mGaOvZruag0LWBgTz+gm0Tfb6/llRgo
83uIizxmJN7yfEbtXOispu1QkFmqY1xV/UtjuHt3ydVRKPnAyIFQCGNmM0o2V201J27YjPRqGkAI
fCdzL725EiGoWNKIxxdOKvht5tIbYL96lO5xmJn+UNr189xIoUXeDr7RIqZ5/8pxAghJBHjeaZtk
I8mazFpj4YYY97pPY50Zx0ax9hAO1/YCIiGwp+j7o7OyGaUReok2ZktN3XLm3xe6RC4PXn9CFuLf
2/O5xFiBsEIJChTzB6di68LplVNs14ruhiYeF42P+E9VHDx3HJ4ryxnjg9Hl049a8M70SfyzGhDa
0KeBaiOPdbz9W67tF34G7n7y/Qsm93y/TLVbDcW4umGiKBqvvXgJTLt2n26Pcm1tyThoVgCH9JBP
OB+l7xIHvo3NhEUmfMWehsciqkbfWae999e1rQk0nDesVBug838+VBYZc9MY1O3BRHa/l646hLow
x+8IW+q+W+ve59tTu5IISDdVng0meRVn7ny8UV8mqygaDzeRYZ0kBaN9qlcNJEVSD7/RnC2DZGzu
FuCXcg28naUKAQ2ELUIu7bVam2cpjuJmyBtFo/I61WV9dO02/h/ilmyCU8nnJkB7+HyCE8zMKIk4
faugXRprgxP0a7PnQHdtH9KiADCLj4gsfZ6P8v84O6/euJF0Df8iAszhlp0kNSXLYZxuCHsCcyiS
xfTrz0PtjZvdaEJnsbuz2Bm4uljpC28QSRQPVsM+1MZ2eFLKLD5Aw9+KQ29tjkXUbjl38KbWnYII
3duoLkZux57dPpRJ/5rEVfk8Omr5EEVl/e/9zXFr35MXL6IXHnW6tehbrQuP3JeDnhLWPUyRZn2Z
VIQR7dg0jveHeluHVRhF9QhE41uLjClefsHYRUIpnFXvbFgjRnH8nPxVep2h+fM8mN2ucBxZvDRN
pcW+qxjoJOpCzIofVUr6irqf8bXr7VJ7mrIs/+JZaf41Mq3pe40Ey/cyrKZXWCvRj9TsUnVXtco3
SqH6sQhTQAetN9SnIRTW+GB2dV4caryg0d3P8tk5cBa072buduq+ddMOx52koLamZYW5gf97I72t
P8GC9aG3jBQj9+vlJ3AimJsyJJHS89j1hJ/noyr9tDEA/CKWYVFloqM3Rr9cPbeNnzE26O7eqCwT
EmUC2OGsoglb8oYB1Pg05IMtdhiZRQ/wMmrMj5pyro9h26bhY6l2bfxq5kr+3/1lvBFxIQcB3Wrh
RiyKAJdT0GOnBJrMTTnqxQzCQI80VB6H8aGppirz62RwH+U49QdNr8L3lw8Mqr3cmgCNqQOuKVEq
olVzTWn57FbQT7wUNQDi7fcHDwQN9FRALBHVAn+7nGKWWbCFRujfYzbOFMYoAAOQ0GVX7NMyqYlj
Zf7+9icPO6pV6C4BEr3q5DhO0czlGEEvbKn42G2ZnNJKKP5Y4zt2fwWv7xhg09wtNOeBUqtrRo2K
YXqhYqkcpHRwQOBP7QHgpHx0q9HYV1k+buz665sTFCpoaZVRcRRco5WiKDS9dlo+Zz72h5ha5x6P
ta044casaACgCkcnk7LPetEqbVKzqYrzwMqSCdtM8zTlVM3GIjwq7uhsRHy3RgPbtqiCcpbRC7rc
IgPBa+XpFXgCLZN7oTbpUS81VNk18dMurOZ4f8neOKyXFwcSzfA84NEuxYO1zGQ2knuJZCgCw+j0
9ESlAriTAquufQhNt0gDnO+r+mk0IRP44wwnYD9MlmfuYjU1f2GM7LqHQa3a/GDPDXAfp5malwFy
BJDgLB1+V6pRNRQzi8ShPFmMxe+J17vZu4Nsf5k1JVwkAqTzxdJ4LvbFWHnJXzFAjvmVyGJq9hBV
MvWgZ2hsHSolkp9kY2vCF8OkN34xZnB0DDHO/0Rs9N6f+859tYGSYvuoi/6LNE1IyBb5VHqyK8i7
+43Px2qsvh6pE6kA4fPirrp6eUYl1mcTC+yAtkK804y53xdVMR/uj3L9lgIABi27tHwpE6z1xTTg
GLW0RBlEimV90ZXR/RoOYfW9M5N3U8Up29MJ5d+U/QgUliP3R0tI90YuJSHLQI10y0d0ID1Ynbql
w3JzQrzTND1pFFxp6SWO9HKwk2UwoV1/RD8zOZTA/I6F3Izybw0F63RhBqBnQ6h/OSFFsRMkmZoy
iJNwPikYfaDaKrJTDTNiY5luXEdkhksTaQGMAwG5HCouvUKJFaMMUE6Vx8Z2w6NJTXhjy92c0B+j
rDqTlJ+rtCrGMlAQIf8tB2Afbe9op1Gf0o379dZQlPkW1CvFnisLkzYpWxVJbjZD233CzBFTvS6K
d+PYb7km3fp0vE04lQEGouyyirSzMRvA/UVVEEV6dgYckOxyT/Ge3n+O/hxlFWE0qKGIFrhfUBt2
8mVIzNB3s3kOcHTsNtK+mxPiCMG/JPW7IipERqwKBY/4wMAo2yfXVHe2krin+xO6NQoDgA2jDYaw
0WpCou9Tu9eNKshzOzwo+BMdmq7ccqe8sQ1gtDANwiLaDuuuJSWDOBGlVgYFrSafhvjwULjNJxEq
+btbG0jIAFoF1keHn5RodYI06kOddLkXyrFPaJBq0WOUSff9++BimNVuC2O3c61WLYPezv/RUkd/
IAkYfLS7thwib3068BBUvWB5GojLXk4IrcOqmaRSBqlM3CMUpbrbpUZkvYLAS92N0OHGYBAgSfK4
VNnma5szUFFJmjd2Hehu3p+SBBmVqhb5j1o4WxJhSxSyeveo6CFqtbx77L5lY/7xTDht5KWeiEWw
SHGgNjxqH7puss9iyrSdXiRWkLuNuRWr3Bh00fZetFF1Cvyr0KiqhBO5fScCbIGV/tjZUSj3cev1
n++fqmtAAj5qVGoW+PRbSexycjlZkd5Mdsm9ML6OrUBsU/2V1RVUyvQprYzEj6bpM5bdX++Pe+M0
L9WxBY0E+gOyz+W4bqtMYxq2VUDVqvgmJpm84rtTHjZGWS6Fy7UjZAE/g4zcgkVeQx0Sex7ymBMd
JFPS6Z/0crajXW3yplBbLOvm5KphKj8OtRGbz9ICPed3Zh91O49nbQzwME7jF32mffLUFfroPZd9
1DcfI10m1fMcIkXmz+Mct6jzy/4rsGvxt+elafRUmXNUnG2KtM7JkHjIYx9q1URMEUt+8AT4RGDR
UKDOKkBlbacOLRnYINXwZzyYhe2r7hT96/QjXkla3Vfi8+DU80fdKvL+OOem8imnVIXZbJsm/3mi
jvu9Hab6d63uhnjfOIMtN2756xPHpwSDhIHRAjVc928U5HnpSedVMOXQxh1pdztpwW3IMrPaONzX
m+NyqNWJi/O56RIzqYLYcLIDRufdQUDvffcRYxSK2guaiwd/XUkR44hgoid4IcNIOWmpYexq3GH+
H6NQ1eblgtOMp6V9udGlKeMEozfBJTHNzkNvxGONssRkpxsfbfmD1luda295VMh9SbwvBxrZaqHV
sNXDTGi7xh3bvRgH3OBNpZGPuBPP2sbpurUjuIEX5i6lZZoElyO2bp70Hfl1YMad+4/lpOKrUXWV
6lu0IjY+41un9Wp6oE1x2SHqvGJ9Ol6cGUrXCPQChIV9n5W19cfRrePpSKbWfJdaKOsv7oTSFBUp
Wyv3bWdO48kK3eSbSIpa9eEhq+XeLUXqgZ+3Z+SL5yb+kUO/8Hau4O3dQc7QDdq6ntXvsm7Ohy+2
2eeO3/Wd5R7jGdi9L7ty8j5xcWfTyUSuVd9FMuogFFMTm3zTTSzz1EV2I/2KS1TucWielV1Ua87k
Y/WnV/sSA7LI9V2KIfJRdcY52+tlnGbvfvohUMI6RGgJzBttiMv14SMsjkUz65Mk9YEipXLIvDTz
eei2RBBubD7wBksHkbwaCMAqHajg4NhdbYqgmfD4yNseVejW6OlMzeppzqP3Y89RXEBaHuWtxfJ3
LSnmRHpM73AUgZWW2e8ZYTHp11Hd0DJXEmULi3zjPmJqizI0QkxLB/HyQyYoB9l1wmiqOrc7iGPp
zolDbXf/sbqOM5iTAzgWbOmC2lgVzDxqOk1GKB2MNGs+sUmrr5kUw55bKvMHI5qfm9jL/70/6I0z
vKT0DhCRtzrM6h02hjnTkoRBrXzU/V7NJWfA/ccshnn//xiJbUg8wyZBruXyI5aeGMNKuiKIugk4
HjoWwvqQFBgkHcyEp2Vj899aMwIM1gs9dIrlqwCK0liaqmj5BLM6hAcDE6QPmjdvGUTeWjMaUItT
98I/W3cavNRMQ6uom8AT6mz9bUFNG/y8TXALTWu38gKsvk33oBCBbcE3riM3AIbET+x+uDIk/Jff
M9NmHGcHpwl6vS9/ZrzPY+Qr8AwVX4kqLfPjsu0QNkrTbPaNyFEaP8mM2N54dm5tIAhlRAS0pxZR
gsuf0ehaFfdt3gSWVpnHujGrj+Fgig/WnDSP93fQrSWlwULqRyllcRO6HKpLEJvHBqYJROb14Smy
Yt0+jiEKBIf7A926zTBqXJAJC6143cdspIa4uGWxqpA3n6Jc6UCkiF48efo0f7WBW27Afm4MiA4a
7dnl9C8N/cuZ2co8wx1pRZA6PfAiI/ntxWXmu1GWgFHegrvdWDIuaYrWNNmZ37p0bYXRAOSCd6FS
DPExzoQ8JG3rfpTmuBU03liy5T2g2beIbgItuZxYnWLCpQ9cL2AWATZnau6PZW++f70QR+T5AXVB
kLXuvxV5og30FXl9eMU/U1aZ6QAllf5iDaP9F7JsW/T25TlbBSN/DrjuPs9gIlBsskXQVVpOLBJ/
rPL88wyYG0T1M6ix/4RnbXSgb31KUhkyGRocBOGr11wmJZ/QcZjkrGjNbppmr9ghraS9vwTCZbJA
7MAiUQlZ35yaESZlR/4TNB601LDuFD8UWrkbJrFVUr5xfTIU6EToS/Ap1uZSSjIpTTgWTSBrg166
qw5T4IVZ8ljUU/Y0pXp3KNRwCwJya1QyT2oVwGdgTq02pRNaTpiOcRuUkxM9yKzVjpE5dEepmzIw
+1Y82EOxFbHcHpRmEfgWFD3X5Z6hyCLPzMMmKGmmPDZi7n1dhuaibNfsk5J3N682m1TXptd8V3TN
AdRwa1IlWT0S2mSkgNuqNuhnIZpjqGT1o8un/ojeOJhhu2pLBCjyct+oRgam2rWzAEISXmyJBd/8
/rV6494BPKHB8oC+twBELy+DNII7wpPNjyltgBpi3HfAm3cRlrEbsLIbHxtNP8QuYKlBBV6/jWE/
582A4F0wtEP+KzHU6CdWjPUTLP301TOUhiCkik73p3fjgNKio5mLODNnZy2JY4qeSMOsukAx5+xl
LkvnCT55uTHKW559efdQRkBydqnYoNq7npvuDRhxmnxFW9TNoRi1HHH8xkasAedRvFhTWOv5vM+z
pHuiFzrtiy6f9npeymNXSNTCEGEt3rey8K7xT1h62ZRNWeA1Dr6d7cFOO0eeVZfKihHW5WM6e/HZ
GuYtlvfqKy9DAXknW1+chvnLKtNI6gRobJOMZ2QhFV/3tMjnn7aP71rLt1EWMjkhAN8ZWbfLrZpj
Y204oxjPqpGru9hSmyOhz7QR8a+RDAyzCOPBWuEiog+6Li1CUci6Jknms9FSBQ5yr46b09BMDnch
HQnw9VrbVg+1WRrFwcau9FeitHaPGU4v0aqgW/iPnadz+bE04jku/C7p7B8ZdFfjYJilE+DYqlWH
DJJGc2gj1Xmntczy+5kBrrC03LEsWZdQaN26Wj1Z07kcbSr/cDEifoMElVUY+cbGf7Pe+WPjL4Nx
poHu8Syx89dKuB6VUFPtUuNc2xp8MSpkDfLBEzok7AMgBTa6cW2ePqQUzXQ/16gPH7EEU8VO09NK
7nERsv5peYy6v4aitpMPkZr12d4UZYxsqhLNJ2+aesfPNEV+7fRBZKRdud3oftHVrnFok67Jvvba
rIi9aclOOxoxciWMPaXVxmSdywBjmSu86iU9p0AFMW91b9vQX9M6z8yz4aGEAvkl7fazoka7XA+t
j72RFH9XVvNOS5S3UdmFlAsMkjTSpstdP0gERZRaN86kK5rtm0AJTzMUucI32/dCf98Go5wOaRvC
BRXF5RP8UVa3jLb1snQ2z+hrGVxh8byHddxsdFlWkTWjLIYUXJdsUtKG9ZTgfuvCSRzzPKEj+Wj2
cfTZyE332Uq0+QGv3GGDrHVrPNCPC/ON8wDT43JWSe6NKEZAwE+S0PbpwFVPmp2kj4aMwAGUzZa6
3SoSfZufS3cCuw0KPLDfLscLO6+tEFWyzvyi+AeyaMOxprfzWMHq8yukbF7om8/HFpn3jTt/HVv8
b2i8TN7YQeAUVwvYVroLIxTDPaEkjQ8KLz514fhvi6zV45DERdBoVrKvyV9OWeiVWEJ6mCNMfPf7
d/UqrHj7HTC3uRfI1LBqX+3aroSz3FBwg1uc20ey9HEXQg/ZK3W11bpd5dz/GwpZNBSSFmWrdQba
t55azSKyzg3hjV/klbpPiqrcF0OlPuiNPEvJwFNXYJUXV9FGSePGWtMrhFoDhgW4/NqLsoCeklud
jmljNds7kej9iSPEh7XSDtWcOj5A+kajKJPTRoK1hjIvE78YerXNZN20tiJi+9wIMRw6bUK+IlOt
D6ZeO8dZpHxylv2pH0q5a4WMTmb0TgDU20/Ak20RqIIkfMVaNaHGZrWb2uckLeyj0DS5i1uxKYy5
tF0vXxk6RTC7CWRQFqA1tjpQRL8VgqDqWWj26Bz7JiQj7wSegYc+idXKd1DDrH29TbQPZiv6cd93
tJl2jecU3W62cQXbSPyulx2eEw0E5LZJ/fQ1/TPX0cnsckM9t3F9nnmHxiejdZ4JNjG5dqyXFBGf
jcDkOsgia2efL98ZQMT6+QGQPKFkafIRCis/KGqs+bj+jRs3yPVp4ookmltgkBT010XcOcsFfbDQ
OE/SGnDEkP1jCzZoX+ZhdKxADyMKP9e/EHWieh33W3JuNya5vK8LzsggBlsnn2KaqfMkhXmutMpC
P8dLAofu/8bRuTkKXWPuHfJNd43bKzWraHJlMM8EqeoTXz37kkaZs2Ef9Ia3WW1bulm0s3jnqOeu
y3A11rvoz9XOWa28vD+LJNMi9MIEcDMMDOu2fNGVurWeUTnsoucptb3RN+My+tednTR8betaqtxc
qZnBoXNaBAHiHYJV1b/lhP3WgwLbT7X8ogmdLzGA2WmHam7yPVFdBOKEZQmwnUpWqM6r0PJ28JOJ
Ks0OWYn0b9WIe/3RdGQHu1+p7PGdqqtcDNz7XFB8v7dYenU3WTGwtzFKzfMo3PJFIAYO8djJftx/
Za4jMl4w2ht0HZDH4CBe3gvUHc0ajr55LqNw/Fxkc/c5cju45b0wDnRp+2OjFP3+/qA3jj4GCQvu
kzSE6301qKlHTqvPGM3WWlc/6Hah4PxnGA/EFSama15yaDw33cWdyLb0Em7sW9qIPKi0jyjgrV93
Pa8SHGywx8PHq9+jQmXtM1lsqaveHoX3DLVjKuHri0bt2KcAt53z2E/5gTaO+YRZ2VY9943gtTod
VF4Wmz+y8wWgcrl4idbgHxBDl0rR48NCRQEnOWhYGY1NexR2mv2YM9V4HQc1+eyxtL946+J937T9
L/Smp9f7q3pjKy15JYVsKtkUYdfJpcjxSWsVXB6Bkj7RQnhuM4x3XLiesQzHF08x0uP9Ia9jJIo/
C/kSigL8n3XgEkVRbcGkRlOrVMLnTnrmIRnM9qE0R3XjVr9eUlaTbjCrSfkQXajVt5ZWJIgFlXMO
PMD2J+nU+r5w7FTfCO2v58Ry2oBH4AHxQF7VttxwpJPUKmelGccfBYlx5jui0f8KB29LhPP6IC5b
h4diafNQdVkdRBpaaunNLmOFaens1Lw3S7/I3ErsQQ3Fra+aTdLuetObDNTnU/2dTk1cchZAMRJB
/gqqfh0EeNU8t5FWRgHezK5fU37ej6P4/t5dwiAIm6I3R2uJquHl0sVJ0XUmeoyB09a2X5hO9wXu
5LwrZWxvdDxuLR5IhTckH5f3msOhaaxZhdB/UFWF/tDgi3AUXWE9VXGkbRy3m0NhfUv0hOsBaeDl
rAzYfqREHax0WX5sErN+oO761+zkYqPqeL3z0XYBsbxYbIDiWT8RtdelcdR6UdC1qvLcqX3xS4vN
cn9/ka5vD946sFoIA70p2qwWSYbJmCG+WQRO4S6erLL83nSt+F17VvsytlH3KlCb21iu66ktryzX
1aLfhBzXqjddTFhqZXYCts8F+AO9hv8JJc35fX9uN4aBn8jxIsJnkut20Qj/gJe7q3Foa2kC5Gby
InmST+8fBWgd7wHniDh/+cJ/VB5iQpw0FEBJwlx2uxrc4i4vtC1yw9W2AxBBT5Q/n8IDhYDVm1OH
NihBHMaDvndRA5Wy8ztn/NHOujzcn8+NkRZgLI4JXLugVpe//8d8ig5xQbfQ2wD0j6CJov40RQOw
OFI2tt7NgShUQnLjFgS2eTkQGrILd0hpAz3rw11uEw5EWp4hCfJekPSbCQRA7OXLLaoB6/sOHFxT
ZwDyzl3fdZ+N2ap/9rXxTmDH2yhkICbpB5v6ikZNOt9PFDFQYYuS4XM5oww7J3a3EZxf7WrAIyCz
8NFA4YpIZ7U+LTEaVysqMd2oVfu+jqO9N28qIF0vDrUBSmn8i94WeNXLxSmRYvEmAasL2ShDOySz
nZ28wjOGvV7jFvLeLUcbh+I61H3G4mW6HMw28VRojdA7J8Mc24+lq49UUstiCn0dZu7Gu3RVVFuc
NpeHjzoXT+A6pKiVua4mwAxnyxS2b+dt5ldWfFDG4ns8lVsCtrdGw3CPpJBriG7r6noYewXJ7WgO
zyBZ9J9jPWLmmdXKY0eyGvlWZL2zfc0uXLj11LYp6dDSWOduqpSqpwDhDAwQTXuRN91BWuXUosfc
1eWJEPmdcnzLiIt/F0AtCA9U01dFjiSPrG7AZxu/zd76F70R5bXhEvl8f5Nc7/vlTMFb5umAd/VW
QPzjXsph22q0okSAopP+xatD8Q0mk3j4/4xCtMlNsTA3VnMp4TuheQXEwINtf8CVmpqjGLY0065e
XUreLM5SElqEjddFRuzB8EKwOxl45ex8yNREHHp8DJ6MFKOnzB6mQ15r7wRYskwktjTHCchQlID5
cHnKcrOxFHSiZYBYXXHUqizdq41EMBrmwMbVvgSwFxnSaqjV1S4tWl4NPeFAL9z5s2Gn5n6KF/S3
ZiT7JB+zV2+K88dMyYbD/fW7Ts44ZEtPhyyXdJOy6uUskfqz0O7WZTD2bfyYxaDrTDuv9tLNcPcJ
0f7u29mv2tA5iVbpETyHetTC9wUz6eduW2z8oOuLlBiYbhbdJg06w1omk49Qz80oh0BzcVMBu6l8
cBK3PIwoPG+kMDd2FTg/IMhLP3fpjF9OHRFVYXRmPAZ9m+YnaJm2n3f94Gtjk+NzVU2HXsTGxoG5
OSju7QtTHQP3NbWAdsmQK8j9BJhjlk8RMLFjVpt9QO9CvDpIl/9O3XSrtXRV69OBPaAWzJtBKfMK
CERuFhVNlfWBHatF+iEVpeUjl/ZvuJh8zWie73Lkrn0JYEg79ZazKfJ6Y1WJlxfnBgS+llbB5ae2
qqRv6y4a0J0L5XF0pmQv+ojETUbj48aOXs7l6jBRp110sJyF/bwmEfUe5ZJxMgaMp6K29MuocSw/
kkn+UcsWdRsjHcNfJbOcfanpsbLPOxM5/7kXFM3CJo2sjdN9a/KwzQitiduAXq72WS1pciM5ggtf
gf2fY/XerhuUk6cWzWlj7ksmsJ47WxlBTxIF/ro6zfZiZGLLZAxCUY8WTZ/6Y5r/0HPXgtdbp+N3
hw8OXyLBbNjvMS7xLey8Nrpw2q0JG+ggEp5gP4Jm9OVqq9B5q6LnYOl9C4Yu8zx5qO3Ye7b0wgqS
SPtZGzoaV0k1Jt/TTDzGqvvFjsw48zO3PXp6Ye7qCJWDUyLQNdyInm4cBhgvLAOyYpyFdZ4tJ6j/
VqaOPIxSt54sKt/WTlDid/zcmmbdT6zmiy5CPd6byBQlPi2HaNroJt36EUteAuidA0Ep6vITJRjx
eb3SjQGvUDPubRc5x8IW4aOW0l1yvUzuRKT+1zhN/nNwOzRT7++U6zCLaNikN8uNz020zsIQWG6E
mnMNJbKmMZuPLzpGnLuCaPVB1GJjtjfeN/YBe4H8lV7h2oy+qDF7cNJ0Cpoibh9VEdbkLgJqhm9O
0YurFrWPbnob1MR+W5ngWvpsecdhesJZxASROu4aLhgmaRw2cTkFlHqLY4s0Ao0iFxuXVKlflRAB
TKOzsNAQwhQuWgxN9dlTW5xAUk+2+r7CwTAw5qE9RbkcDnpj/yqrudoZZb0VcSznYnV6/4flIdJ5
I+VfbgpXGVodxw9QeKzNUSKp4XepaW5cEje2Hmq8y33E+QRrsIprjLrX6ipOpgCju/hF0XWAGmWk
obw/mwc5ZBMKb5b41Mus+Z07ifx2f+e92ZpfzRJRPwtHHShN6/C3cLChqHlzAI/I8TQPbnTQ1VhB
owJN3qYK5Wcj8rIvEVfqzrWA5rmRUvtxnpjHZFScvTM5hj9FlrZLs3Y8uNSJNw7HjTcaXjrYCB2d
SHQcVxd2m6Amj+3PFOD/OZ/LYZo/jx4aPX5sNA3dVT1sv+e5tpGorrFlbxuVO2nRVQJiQ2X1cvkb
0ZVd309TMChevbNkk/l9PIwf+J2f2LuYP9ZVeXCq0NubzuJ3Xav9F1Fb41NP6RTEubMls3Hj3MIT
xM4dPJ0Kom8Vl7ZDpkxhEs8B/Re63OrQkwF6ikQlokvH7CQapz0aOT2fwVWyv+5vlFurQI2IVpXN
JrmivFH1lY0OazpoVa3/dzIQpXYM4v0WIK5f5178nOeZ9/9ZBMp70MMRrIZSsDod6KzlBj5gU+A6
Ug0mV+Ooy1ao6ikrdRUFZYvXw9fjRMUJLh/jvxQ4nOVjhoKehblK1rQ+SZf7tcI8/vv9D3LjziZy
Qq+DHwcqbk1dRzMvdNDCmAKwrOiDpCnseF+LHVo3cxM9j8bYtRtv5a0biWYJIRtIHoO+/OWWxNlV
LRULQ6G5xWpCGXP70yznYqN0ew1m4YoG7r9czkvHbR30dwlzK0MxBZVOU2Efuq530KaIWFwZqjZ9
9ByhfyxFbf5nA4P4T0HoLDo2UI2AtEhd2zIMuXkSAcvavFQQcxHQuZz2aJnoIyvNHDRGao+HpFZt
068H1Fx3LapLRzVjhV0cIP/2zCLtUJPQ1Z+DMxbPtmwiJAFx/vg9JE4zbX2pG6EVcTxEKPIj/ntd
Z+q8wVDCuJuDcDDMrxVSFipIMWs+9KVJHGFpUxF40kMSBf2n35lZn2ZUuB4TL6LkJeEufpuREvBR
AXP8FkGBjZTqrRVzeblDoEK+Bg8UVNqJby6/XKOOuaeVhRrolI7lk/RC5XNP/S96MIVJLQfYQfZS
co9qfqJ4yWdrLMt/qlyxnoWNkWzTTcMXfJi98bBQlPnn2w7ifKOZZ0dB2xTUjwzlRnRyvckvf/Py
9/+olKDyb9tNFfObJ8Rl2twzdoggeo/3T+/1yjGKQ7hFK/lGS3dqowVHGqqBAXQkDTKex+HglrWR
f1Dn2kh394e7Tux53BECWJC61MKRm7qcFQw9L40c9rAyO2Apja4xap7NBEuW2c2OXdc89107vCrO
VBEMUVFccOjK8DlHwqbCQWxEQ/z+b1qGvNgcxNDkJNTYoPFxq6w2x2jmcxrqxhyAbxkqvy/L/DAA
7sHWjKLCWXGq3tk1Rpmpe5AvifyimXH96/5vuE5Olh9BR50HZUHPrYunzWhzY6PJEFQ1eqT+kGKP
4EdGccxia6S0aSp9oFh6To7mjrsM3axHNLTcgxNTAk07hfqIMuV/jVNS7+MRhfT7v+9qM/LzsJSB
aIvOoUvjcbVsKfqeYd+pQc65LXwjTnPLR1fGGPf3B7p625eB3vTPoB9SsV7tD1dVsjlByjeohjwn
0Cj+jsbxm9Io/wqr2gNsPtpqebw/5jWSjb4cw1JXAxFJPL4KKOwwx04aLnQwacDUd51U5F9W1YSA
X/pQYNA5yuYDMa9SgONLjdSfC8Mu/Anupbox/+tHh99i8p25SmliA1+5/NKTEZf0nSY1aMzOEx+U
mADqSeMVfRFpGXnHgrwv3UvbHMMDsLjaQvUfyBKhoARKiSKx+e3+17mx9ETE5Cr0MJc+zyr+iyqp
1zBFtKA1OnEOPVV+TK3J28rOl1O2OoUUnoi/2V1stbUKpCZbOVbEocE0DPY/dlcCr49Lpa/3ZRZZ
xU6JJ5E8qXgbaHtBVh7uZpwxfsadN3n+KCcaHH5a6jWmHS1UpS02wxsX5+L3UXalfgO5kiyITbJa
F2pgClFAnz2nhZZbh3rQJuVVR9YrNLF1HPAh1/R+nF5L/j9EBb0Uv7Jj6BCKnivg0tlBdZRJHHKg
/ZDws0xtHkSM5+M3KaJp3Bd1kQ9fEyM1h6NuDYryOQ/dXvzrTtXcPnth4lidn+qJqP4WRkqryEeW
xrLafYQXUTFDoxuMch+VLU739jRn428byEj0IvC6kEHZZYWycW1eX+W8+JSOCIV5VpFBWW2MpLZH
XYxR8uxmkw4qEsmff8zMNn6MczoAOe11oQEStzxA3KaSGt+ndILh3hhRWuz1TouLz1BjhLFxVS0L
cblQS4kNQOjS9GI7ra4qGJVh2iQ5VltOPHxora77SZeBs6zZyuB9iJ1RNbCvwa3v4f5Bubq6qG8h
zkLCBFoU8Mlqh6gTtaWo1ONnGcNjfhBDHbmnHMU3HLdMkQPO9LpnKFSRwEEeLdWN9bg6pxRS6S7z
H3oSkDhXz1g+VAROth0/i9wbhI/RaP9Fd6qtxvL152X3Ew7ziC/K7WvwvFPxzIyWWj6XyKO7O0N6
Q/NRzZBu/Xty4/K/kEzlF25TGEHc/7xXkQpPNK0A2D3cDgAjl/n/EQ8twj56lSCxUo+J+9gonnKq
sBs+mValbARF159yiQao9EMcBeq2Vi3y+qFwabJUz5OwpwcdB9RTjD74/v6ErkexFpX9ZRgKXnSC
LyekxLleCdlWz2qTW/CJRmdfGU29EftepWewGpc5IJPBsbiqM3X9HHqZ3lXP0vSqE4KN8jS4pfnF
6XvvoGsKYff9aV2FUwuNkkKOBiAdkPIaFqV7biVzQ4pnYn0dy02yVAzMDGCix8lK7PADgWhSfYqg
HY4HNIyc4WfrNXGzRaS63i8gb6DEkidBRQdOfPl5+9kzBGp+9TOV3epBFfoUHmFU15ovHW2T+XDj
My+dk0VWA3ohRmCXo1l6OVCmjcWzwpY6lE3RPJTu5D30kaGnvgZ4VtvYPjfmt3CbqZhRvARZtNo+
aVaZE+hd8RyNqY1nTgrW30ud9rvlKON/99f0xlYlHlkQbQB9wH6uxpLuqCaTqopnLTFEtzONCE9M
VZdU6u8PdOsz0hkGab902a+qK6mGES1wKoGRaKLuDGzIAkpT4kWXHZ2BbBinjQFvfkVUW/+nB0EB
8nLd1LZ33WQaxHM1kLADl1afkMmcn2yXUPP+3G4OBZjOXC5GgujV++DgWy9nS4jnIfTsYjdPqlHv
G8uLvMe4c4bv90ejaM5Pv3gIgVwSRroLSnFhUq8OAETCfCixRXpGEBnXY28nDK36gORuEWBsX+0N
hJ6/ubYSKOrwK4VEfyhmrzxOgrL+RJS5c+esfxklQAcf887+tzkL+99hKnfTmDm7OMq1xxgWml8a
Ymh3WHGQGOhJhklapfmGzOOTKHLkR7vSS77F2hSIznBePGlrJPmK4lflYmObefkzJe3xPLam+6FJ
4uZAtNtjL9EHfd3R1VXCfHqeMikOamy76Fs5KP7NU/wtmTRR0Tlr5SGKYgx6pNzzR/VHXSo/ijZ9
scNyfKhVJNqGJJS5nwiniH0naptnsPFatE8Nt/hUGlZzRvQkO2fj/7F3bs1RI9ue/yo7+l0c3S8n
zt4PkqrKVWBsYzDQLwoDRvdLSqlL6tPPT+7u07hg48PMy0zE9ENHgLHlklKZa63/LdEPjdMrdgo9
CXHnvGoSv9rxWy2XPqHU+24sVTdmR8DLJX1fMMW/xQZw+WSIOinjTgXlq2Fz8om6bB7c1x6y/PyN
l8C8OXXuys0KcM0O3jmk1RQxFEcez4bOvZ2byZjCqq3M7iJQXvupX+YsC3u9Iz+rJeSy3KvaZUQd
ZrVZ8UTWhsqO+2034hKZt7EGpzzVvIZAJOF99u25yC/8ZdrcFWQ9zX12KTma1VtXR+p+QcyLnbyH
IZYPbjQWOEs4kT4acr5wvLL7Oi0O7GM/WzJ7j4vZ0h6ksTma6XmZ5fsVwQK1G/IqOmJerX6XaCQH
xJYa5nyP15hYdyhll5caqqd7c+w7wjpbyr1p7d10nxmzuUTSk9gxz1ItZqwXut9GTg/zOAywhybN
RZ8HHYvmqRIXshqy5uUSkCp14cjcXGI6hLp5OyOAlAfw4wnvwqRiEo5bhUuBQOqF/goGl2Mcqqao
yQLris5EOeJr6fBeVkWvvbWScv4q7d5y3jVsR0Md2SBuZWS0+hDss6D0pgMqAirryawQlirLHwTD
Ns7YPckFU7Mz5rLFiGwe/Y+mXePBAFNpLMO+cztyjpiAlbvJEcGbrhF6GeW9Smri15K8De0gnatD
N5fd+M5GiL1+zLNB5W9ENba/T8QYqQshclXETTcMbui1TlffJINXozTKCw/NjZv1DNNsVdAAOHi5
pH1YlGNhRkSFmxkd4VBVv1td1ogQbGCyxnCaQRSwNC/GWwyUfPs0lml1Ny9VCkMZzdpw3cHasyqI
FIYpuczmnGUNtUISi+tcckoH4swunaHz3O0NSnx5kg4pqZer3TIRHaRHGlKeu/O8x95YVa+TIsnG
d5rf6l8p0/sszhy6Nl4g8ul2viFUSdiFPvU3i6V6eTsEspObu2alz5eE/wgrJPXInsKabmY9eW2h
d9HaOgy+XeFvTlrEpQdDEuLoM5VHf11YSD5ON27HRHG1GD/L2tVelrh/+TftvFiZQpORVl5MQTa1
X2xoK8G7rJBdFovV7dxIk7rSGaWPI558izejYCah+aBKx5+/JEbdVq+1gouSEGKmYj/PxNObduJz
wEOyLICIi6wo7lK43vXeLuxpCom9J9cowVLhfaZS0YeOl2fjFem8qgl1Vc7jSwzimvKgUWtrMR2C
o9BMj7Z34yqM0yLcHW0v1D1pi53iuckwWPu+ONmlV49xZdZdu51aJYW3U7XprnLtaT0oIav6VYID
WRAmhWWK49g75nypchMHh9GpyZEycK9CvdMUfYIodJtk5Gunm9eOy6KI8qROCUW2yXo76Lrq6iMT
dzLQxpXRQ+iio77DE5CJg6tlyLq1SrfHa2KXLB19+mwGUTAEQ/0KwwNLe9PqZt7f8IsM2od5Qr1+
6RnJku0aFrh74XWVtcbMUqQZ86h9K1z7cn3vpBjvtTzezM7YLRh9R95gKyfycFifeQeSxHQiIuMH
J65rA6tsFv08EqFdKP/QqUVWsaaLLr9OXENr2ESLUYU+BP35IGwUdGFPEyrDRg6ruFaGjeDLWLD9
CxsxsNcN/LD2Qm2mg8fGKJz6Jc9uqS7WvmYCPAddfZculLK8VILFWnZ9fzcWRVDHrd4IJ0QcMPwu
MAv6kPpeou88iRsSzogI7192ADIkFKYme36+QPTDXq7L6kOmUJaE9EADkvO2QXalVZOrjtjHZRMv
d9sS0tC2uR5KWJgfddHbQyQcFKAX+rAsdjyzTepv2qQDryiXVmVhXm1ZyX6DHWa41Hm17hbl9s5N
6UtVHIdylIivxkmzFrBVpeFcZ2fFmEWunILyU2GP9nDZaQFpYGxaiQhx1/Pl3rFa61Xbo/ZYw0I1
qgv9pRkxXV2SVdsPXW2vn4zCL7u9uyTex6l12iEmvYxhr6mLcQmFtJMGaypyZA/4RGRmaAi9QX2j
yLYNB3Ox36zN2tR7h9/wdkXdP3zsVgMzA/Ri6HIito6q3etIkt7n+lq37EDr2lynkpQPpnTokmJQ
yiE9wA4rIW7Muep2BXdhe4PKVIXa0vVBRGgSML+a5PKxhymz7FsPk5Noao2ViMxmDsxbtBdjfTPh
6tX1cEzrvIyaNh+1OEXw7b9Cc299WGfHxiBfeOp1jdUnBM3KsqY7sk2W4STXqRw/SFdldrimozYc
oUR5TZgbC+yO3neyYQeLt6wO2CIVebx2AtkK8OO4HpNqWPMPqtG9fj8AreYRLlTjejnb0zjvdX/o
/Xi200C9dqwueOfZRdNfJJ1hDrcLE0w3Mjsn6S96bwt17toEGxeorP50Q+hKUe1LzV+1lxwm4gPG
06S0B22ZkxvKkOQzY6QiiwduNnC2g5fiRZmuon1tFl7jfaT9o0SwpGfNO3fqtPGSqD2zOaQ+SXjR
OhCxsFuctirZkqw2vYTFUBNdwdvpXSDt1KuoXVLb3OPIRikI2jGtu5VKZUOXwbQiv+6cLBwWy14P
dmem1ZVpSZwrpyadhmMw9Mo4BWvmEdPUGDDPFUsfVEGJcthnutO4sW6U3XSo5Er5IgozvVt8lsWJ
1Q+lTs+YrO3IcavUS/L8pn6/GKhbw7Fss/JNYln5paw9o4vcZCrYNhJLVUShGWPLzZlFgrJ7w904
9awsNus24dP6XnM953i87nN7NeuDbVCE7dMxaMdTJ6hud1WaCe2WXDPLj+1hyLQyxIxiotAjmiVI
1mg2s0rdp8FQBHkoK41MJm0qWxEVlcBHA1l7K/Za3wGp9j7pqZEnRTrHi5Fo2p29JumntJCmeatl
on9vJAaxAbHuqGW4cFGikPKd5a065XNufOg1G95XMjKtC4PBTZY9RXinroLaJiCmb5r+jTTbIDim
xO41IQXe0O2g57vNHnPUDOc4y6kCDq5uvHOY+52MInGLI24DEgkid6Q8LBUrHwPBuZ/jqnHqz8as
N068FHKxL9px1d7pFGBeyNJ1lnhcDb+JFrewtEtt0et8b4lWnlqrqJJ9pWuWInMicxrsA7RGkvDS
sw1Uq03MUuroS73L2I6DE/YoHbt9Uo/N0WXdy3A1+gXLG6usrzVTuT4FGOXv5WwZwooruj0VuuWc
Ovy/XVyYpRKIRQ1Z4J1SJvV2qGmVeUvsgFVc2F3ZeKGm2H1edqtyg9DucGjkNaEQPvCkxiRmrDMZ
L9s6sdVLuQ5EQy2+hWFG4oiFdeatOUsG70N2omER9ck1va49UnDINiqIXiZkI5HzQ7ma3nwwVjtL
9wmg+hq6i3T7fSnq3NrN+P9mN7wLxXQQYwYAVJJw5NOM1Wv7qjHSpTrUm4tNSDgmTlMRfqTTjZUb
ZfEpwWlqjI1BK7Ilqjshrtu0FL+rrLDxCHTzpBNsBJb0X7bQYtOQIapG1C+9ZJHskQhuzWE7rHrG
Oa6m/HWpByPw8ww2elImTdeBWUiQXAUUVNY+WPQgjcsmW4clhDqW9JdLbrXUXvBIip2u0JJfyJYc
Q1gcmBJasWPma3Y5tYMQcVFLb43cAtZkxF/Xw+stMs06UMKhaaZm9PMTIgOCYF1TgtwW3mrf2qWY
m0u3mMWyMwtKlA/o94WtwAY0N3goQNLkpZVnDvrmeaxyCFV6nSJrh2epLX0Ig6IbQR/rYPBDvDqm
8jPMwFXcPPbo//F5+c/0ob3+oxkf/vVf/Plz26meJCt59sd/Xeaf+3Zov8r/2r7tv//Z02/611X3
0NzK/uFBXt535//yyTfy8/+8fnwv75/8YddwPKqb8aFXbx6GsZKPF+E33f7l//SL/3h4/ClvVffw
z9/uv9R5E+cDhkSf5W9/fun45Z+/QcrZ2BnfjCy2a/z5D17f13zv6b7+lP/wex7uB/nP37CPesHE
F+uZLdEJwzLmG/PDH18xXmw00k1vhPnBo29a0/Yy++dvmv4CUhFGkOgXQCnxEdhMg4d2fPyi+YKR
NQQAOH9Mr23E8b/9dQuePKy/H94/mrG+bvG2G/75G9P9pxMW6gEokoykDXibwOjB2cg9nVpdrIHf
HJpuEZ9ctoP7xSdHcDch6ngtjXxqoiVRWhG2ppJ+ONZJkkUqbRuxgbTGEmWQDs2YKO7R3XNQzTUn
DadgNI+l/RYmEJnAypxOrTBL9zhIMV31mt+vsTWtC5tO0JhUl0vZEj5qDnLnKuRyxMaDT2C4vFj3
a8GmFalE1U6kaUUyhbOVm68pG806poGaoKosxohca2IaFKfcCez9CN2ZI3QGm5kWlNn3/ArLbd+K
/q5CCgqfAyrsK0JL/AxPdJVcVZ5f06QIjXYUNk1bRybkuE/pPPRfbVMbGBNkNmbLKZYEC+BHKaa4
QkSwhDlVshGXTiC/BNQKr/tm7DGNYu5DNmLV2CegtbGLkRr61UWKjcsUTWnL0Mef2DSPVlFmnzu9
ol5Y6mZg49y6yJuhUv0BtCQ1iLB1F22NiF2c7VjAXvMiUAoYOvk4a3PU1nbmX7au8pa9nkr7db+W
zhzPHArdLdbOWzlcOHD8RGZWy34ZGbGHTlksbaTpVeXvYA0NV33SGHpcJFI2+0SleK52eZmo18Wy
jZKkCOQUev0IVmt15WrQsFVOFSHZbIebsUtzPiunRRrhMt+QD1qanLdydkjTRD3qyVAlre/vx5Zx
fVhr1prs7M6usfaC1+AcFqhLbdjWNDm7toK5+C6oslU76fzo7EA0dkYjxIzjrW5X+oe5zuDcYCwa
vDMLO50o3NGGhmWivTKINHjLCLjvwoEGv4hdLEbWgxynel8kbVfEQTIXMqp0jqu6TykTSoN8h3Cg
2XqgsUeFbOskAnHSycqMlO4sl7M082vsaLWvSOz9y1Jl48cOpkO2N4I8v6azqukqdau+0cdlLqOO
dXg5daWHzgRY46vVSVeLWzeobvFSENVucg0wejdR/CYFTlyvrcUbP0mR6PrruV44GnJ7btywtLe4
qpx6/V7veqPF485cL7pGGkPYtlV2h6rEY4jSFzFdl0VKfQeWu2NjmYq4zVuswH0rWYejU2ck+EHy
E68GDPdtbHUUPy6gJPwCTTx9t44aMxFhzxSsxcrMOmwtK/mKoALSmKmWN4lpVu8T0+4f+sE3OKPL
RR8iT8hFP+hZNQYXaT1b5keqvlrGfgDbgEaMD+lnI8hw6Y9oriXTA9l6Cl6XnNp7A8e/awqr6osk
MtEuwqnIW5LAEq99ORhjflV7jZ+F2ZxrGiCMWq6MIl3t+6pBoxStopv2pW6z0LA1Nx4GZ5EJ5chc
O3BfrcWPmkm0z0F4ZxNp9kt2ZEJcNwEEKN45vbsc0q6bqwX2l63yg12YKurF1Eb2Wqe7abW6u28O
lD937G936DPY4rvrbYjtN5AhhV0WqI6AwhJi6nG10AlNcA+in1/lbK7/eBWkShBCAZtYktsp8c1V
RgCEvJhVd2gEc6sYp0V6eCzvrRhyuXf4/yWDVH+UDKQ3buzR//jrTP6uZLjdzvF/3I7VPYXAWe3w
5zf/WTuYxguOePhlWMDgQL2xyf+sHQzvhb7RTBD/AyfTZ//2j79qB74HERJ2DhuFEQD/29LBe0Et
YcNa26LsEfJT2/z1a/4PSofzJUMRsjET8B2hHiEV5wwtzNCgUz3jbcTJTDxAYvonHzs0er2k3H1z
h37wDpy/c1xqQ5zw+IClAb3s7FKO6t0SnyV1pDQwvy5L7Ub12LofRkawL/O0m25+fr3zd47rbcaV
KHNtYnjdc1gyhUPpwMVejyMO7js9aLTYs1HO/PpVqKEw8YPrgEhu+y2+eecIhHdzQ9fWI9HN2ucu
KdUHJrHjc5yKM7LDVixCSISp6EFwxkvo7NWGBpqbc+vox2QmfqWAkHUcqwWUom4wUGfaW6XhnKfr
w88/3XfLY/tgoK0QjWBKsGM+/XRp13Zdomb7WGuGjFsv+yzXwAXeWn41VYVbyJpggsV/5ubr8/RK
8JiXDh67flwafb2217w8lTSlz1BZf/B5sCEEVwA5Rm1zzhkpwb+yTGnmMZEASt0g7CPGKQ1+nOsv
Gnhtfvs4B+GKhs0CWMx5CLrhTQ2Bn4t1BM/OOcR8IJ0NrfzVB0SDg1Ia7obv0EhsL903y69yp8ld
Rtc9Sqse4mn077PKvVwZ+T/z9n73NhElysuLwRvXws1qu7PfXCigzrdar/COQ2Z8xdMhv7DL5blc
KfNMn8dN4yp8ji2GAfnXuZYe73d8RbvBOxYmqtpZYX5RW7NzWih9Lho04S8tRi4vBWXd7SIwdwB/
Ehee1jLosXt3bzKteUVfv173fe681v1yepkljbYv/H7cZYXvxZOwnpPI/+DeQHxAQQpZ0oJUfHZv
Zkm+3AZuHTFsEheZN76h4n0uY+b7i8DGhM6xMS0gPpyXLIC/NTQLSexvRyQwBjVJqAl9/ONUfzIH
+FmhgnUGxICtNLLgjX33wiOWz2rHUskRfKOJJ6dtonSQ6TNchz84Id9QAnjQ+ARxKnIaoEDFvfHp
ctLNoRMZZe6xkosXxCRDeMbFMBnZp6Jb5F0qFvtLY+PosZ8TEJHdQAvuojBLwAgCepk1GlJhQGqB
+8Pga9XyiP5PTvw1NMyodJi+RyXzM7nDN6gLaNNEIuJ2KFu5z4SfZ5c5jcsDkJx7h5671iN6Cds5
unOCLhMyQbOzWrf63WN8ZGM4zlkTLnnlu7vaysa3NbhoEZoY0jEd0wVp1o6uHloEajYhL2ZFYyTX
ztk7eK91oTaSqrJN7Of2SGZymYTSmkR9Yc0yfbkWKKgOvZkv76vMrT+W4JddHAxWdpFD9y0iMIX+
oy57pwhlVwcEMAPXN2EJn4nRkN0NXwpnYpTVpBm2ePCCjdCvcLy+4TjJ5I4GbUpCVxYa/C41qsNY
mct64QIOnCTBvWVY6aV+ZZlzA+Y4CprXJPAkTaCrgVHAj4AOOvc1oJQ7qeUGuN3pdzBok4e1au2j
39cV2HCfzCKqyTB6nRb4CgKOMCTbmaoLgJQy3KntVfX97WD5oo1yxqzMshm1/L42HlDaXNrLBd4c
NPLOUPf9Driv9+LEWrMLzN8XTEn4oLSDbpa9I1Rj+OqmY9dx8gXFDSMaINeWQKM0MjFbfVdooyxD
+AXTPQNlP4hzu6iLuBoY5ZYwJy81Ytc/GlUbFCEV+RT1TpK801Y8SiJsz7TuKM1k2htGboCgi4Uf
1ujDOEViNbqBXr1fr2pz7dKrIZ9ZGGZjew+NnTkotptkI2Q7GbEOCCi9/OCaWCyGnmZp16Do5k1u
Te5bWxftvd5a09Ug6+QVzbt23w0qcaJS95Yr/ODWZhfkWvLZz1Np7f2gK5KoG3WoCvgWjk1EfDiO
/KC1WnEytExmWAB0/v0MqJlcTMs60GKQjC6jMhfkAqlkYXjv9Zb5JhOkXsSGKOWnGR4xU+WyVM6u
Bd4nl6VPyzp0gtKw9sXm3wR9NqvemgVoYTwYaTdfKI3M7L2toQzas0SWOyulCouHObXELtUt7S30
ZNGEXt11V6OC/Rr5Sx68nwbNxBhQlYS9oIAer0mayj5lw0SesTECU++1OTHc32dTZm00TDyyELze
ezNO9jKdqtInUs5kcqLFy+C47zvexHcdvyMSdb1j1uGMRcYwKR+AlmUJTxPnpE6JMCsg3Ee62XTv
ynQAaRWOVWRo2V3tSyLNYYyYZDifcUcb387pFgwPbDchHKLtDvjHef/ZDRohd8qsRw2pZTWvoIeD
nuwGP5N1WJgGr8fcCf1QiREcsJUy2a3m7IIxzKJgTo9k09+X7RR89YU1FlHvGYvFkGLI3s9pCgo+
9K4VqdoLbqTDRDnOqsK/qiZdVPuBXu9us7gFYRf5qOKxRqAOnm4rO6KCAw2vtdpeIqyE6LSnJXDm
fY+Ill5cy3qUukQb2bxj+aph88z7+Q55zVRdQH4v84Pwt1dyQfb/euyEfYvEt77tlBJfgMy9KjLm
dRm5WuE/jDYRgGVXTp99v8wStjo7qSM8VsgVmtfisnM0vw4rsjl0AGYS2EJvUe1xgmLXAoB1Xhlh
vILZ9LioxmD6UeT9dVDmQRu16WwicMC+fw4txuICXEl36iOcMK2/1o0xyEKH0q2IJUhuFaqGtuUV
8RDFG22yZ+9SOXD1o4zWWEW1yPXXkCud8lCDgVMxJ43giacY/4dmXpc61/bGDhuLDtp4si5DWI8I
2EJCfNL7blR+nKwZa4A+m9I6IS8gnq1VC2C8WP5FL4AKwtkVzg3ER1fFP6/qvjvryRzHjwKJq0mP
gtfY09Oxt1ao3SSMHlet8C7xuayBbu35mWL4R1fB3pYFgtsYXjhntaPTs72X7egdwVc2KClomt91
ntrFL38YGlXPpHzk4REj9PTD5D0rJW9s/0hYe7oD861DGGrPiQB+8GFIdiWAiSBDpjqPleU39WnR
BNJF3IBBQK5BWahFsBvprJ8pt390FZzfMCZyHgmNZw+mbYysHDtY33Onsi9OvfpXepmWz6gYf3wV
2iHTxlDbPe+FRJHBMHNK/9hmSl56HFPoKczkmce/3fcnJRj1pIu1QUCDslkdnrWUkHWl1+aDf9Tb
eQoNXRiXHWSBUC7lc4OpR83M2bU2hSyzKWNLtjkPtXGbotPS2g6ofl6t6fAqgw8ihRcmUpUhA4C7
yvucmDWnZ8r4sI25L9FkWw27zspQ9zbzhlhTd8p/q6shqqEQamJfu/XbTHufiOLCC+Y6Ftbye699
+fnq/W5qQRVsYjj5aEOBLvGsL7UgDrhNz7oK5maJZg3rl8mD0GiN78j2Vc+U3989k03YzmRSR98D
N/f8Xam6aWjGpk+OiRD3BnDCvsG2ectwei6p5bs1xpVoIhhZoF7HD/WMk0tiL1oZ4SfbWznEWyns
wGD61deFn4y1BG8+mxX9xNkS89w2N5Eha0d0lUu0UpWEnZjE/8ZVHpcWliWgwOed0Vh4vvAqlZ7S
Zqk+wa1q6Rcrc/fzhfCDG4bHKsEqTFcZGp+TpouMFMd28FKUXxWLtsFm4Eiu5HNWID9YAVsLzIqz
8R15nAp+22enqh+HUtXZSWsy+8bBT/mIJepy8qfcjH/+iX50KUxOtzkIzRhKiacbcyGrcW0oYE7V
qM+RDmC1h/tYvEZd3j2zrs8dwKmxfY+FRoOM1haE8my5YdWRJ5nRVSe0s/YUY/ELGTbDqHNA09jI
azxJ/VfKXHvQK91tyzCVNUEYXjpB1hVC3tN0VHABrAYvaz8vpdg7UBZkaBhF2YdLJS0Nrx7VeR8S
z62HCFZC3+ADMc7eTvpT9jWxOyo/vkTj4a5NZYb07Zp1mNIgiK25nLJnXEm3xf1kz9ucfXCw27r1
zQHz7Hg1zJUqsCOoesmN6lCWjIIW1xEFHpiddwOeD3dqmDt9B/eyvs46/M9//ny/X7GbnyzaOEJM
cPR5NH755kh04Qz3PeTaU+8P7alp6/LaCWDs/fwq32+Q23PlXGdvZHs/V0MRsIzWo7Wr01jp6et2
0ayW1nTSY82oLByW+2cT0n70uQC/EIAAnKP7Ohsk243fAkZm9SmFuFNDJ5nyXU4x/Ou7F27cCEBQ
FaI1IT7q6fvRF7kprdxrTmCE9skrKZSWTDwjN90qhqerBJKAw3vBTcRs7dz7ug+ERzQlQSw6vXoR
QnvR7mqZbvzZcSFi1RxvWiI03622OT6ncTm3/uGtRGqOsRujZdx/2N2efsLSW4k2l0V38ltlv57B
POZQhzoURB7cIG9TvctPXd5TbreDky57G3SJKQTzbSuyifzbj9mY3pqrb1xk2YLCoiFrCerAko5v
lMXd++WtHmdcShVgCYALpMBPf2FPSwbfCfrg6A0u/d5aaa9mn4bz50v6BwuMw3HjbQDMwO7Yvv7N
i7O02GolrpMcRVoal2DqMmQkVj/z5M+vwssCCEketo/Nr8t8/ewq/jypuq7bk6xbLSLSaYlMXaXP
1JLbHfl2fW2vJJG2rOHNwhBD96dXqSeZMkdf21OljO4jbPSmiSCZTFAilwl1TW9Eqsjdj792B/Fw
AJ5HuUgbA/Ry7mEE4wciAq7kp0EvitiRBJF0btM+cweN728hWwBCN0omihlwz6cfrvRabi0ThhP7
eUFkNVzM+2YMNnY70uXioCfoNi59X9NudCHqMSrGApWRgjQXDYVd3cFjsPdk5Exv7Jl4ome2xvN3
ezPvRahO+CczJTqts0NP+uzsbiKGE3z5oNzx/s8vpxmBRYyFmr4ydahdBBlCuLcEquL2/POHcH6+
c3nslDmEcNXnLj0aTX2zjFP6FDJT1/EE3VuLsqwmBcOiOCqt9Tnb7/ND4PFSVEXbTJcFd163ovBS
cE7d8VQ5RsN0R67IjtWSvW+7AP4aQUDj/ucf7gf3FhdMFI6P7gSssaePvtZgna6pMZ0y3cacjPJo
Jeanz9Z3hpaKL2WBsClMUnvATNDcBls/v/wP7u3m0aBzZz1QRvtsi4Cg6JrZ4E2nwtfsAAI1syBd
Sqvbl26h/jjI/2THXf/xup7R8c7++HPe3RO+3r/l8f1fyM6D/kXrsdHV/j3WHj40aTlW47cMvb+/
7y+KnvUC4HBD3EDbNteK/4bZdeMFf0UfDVCGS9f2FvwFs5svtjhMcHkmIJwlnMN/M/ScF4TVoHgB
7jJBvLbG7/8AZqdOYZeCJrflDANvni0Xjwm81JDRoOSS09U6KivutEJ8ccvq0zf35s+l8i2A8zgc
+HbD31BACIeIrJHHg3pvK/ebt743khHpilgP1tz076UsV2eHcx7CwCYlBKLrterKxu6hi0YskT4s
AaqpqN6iHqPEynpIVVmGekzPc+Htm5UA2nAVCZOwmQ7/M2lEg7pYCKk7qQFzkDBZXNXyU0smi7Y/
3VsI6J7L0GFOxC/99EOxYYNyEuqHpxNijqcfyvWabhzW2jx41OlX1tQb75UcvA9Yv9narmBM70as
oWYNVQ1nPfSaTeBhMEX/aI32KELhYxABRODiBMG0q/UibaH0ibLeQoGJ0YsVpeaSXJY5CFFUp9bm
JLemEHUn/rk6QvRUbxofVj+WM/aM58eE0GjX9PAm99Lz24d2SgUENL/3USEmS4kmwplLQrCcxf7Y
GrKowzG1QQycYaBeFU75RiSGo+2hhhvlfsg8ONNoQ80vPDLfjrXUk1/VZBZ3RZ3OKxT0UfPDAoYg
HqleWb8CMfOsXaJs5rDCmeECmJ42+ZG9OMxgs8TOTv46eAfc+uovozT9G5roWlzAp4elJ0YxrhFe
zWT1JFWVzbE0ajK7pq6Ziqg1/BriJeSCaxOYhLGo6lF/dfVs3icr5u1hPiFrvE6yerRDE5HXikVo
q66oB/LPZd04fog3XiliNetLHqoqWT+TxB58zLuukvHgFMbNuPbVjdfMqQ5GUfgUIjo7dVx5M2b0
fS8HTuakeafMrut2meH3OjFcmKWGCQ/Ai4zJ7Jtw0Xpg4JnfMSOaPIM7v1YsinANWjyKNBUs9SEH
cstC7PLgeOup6HBcFfZ1+8gr0x85ZplVV85BPnLPQI2MBx4ujLQpmaY99DZ4auYjZ43Fv1yhNkxg
sj2y2vyszK+kr9qX3gSl8tX4BwVu2ehwjlDTNZaF7f34yJZD7YdBXlau9lW5KnUQlenIYyEKxOtY
Svbz712eL82nQKymIh3LTcY3dVcBzeSrlX01kwTJpzENi32DA09XXylrRZva+TNDeg8lw52ONVL5
pZoGxwZuHPDMvgNl8Oowd3ukvGGXSd2/EbXRuxcSnP12Fo60I7PyCI3z9LWBdZhUeEjim5/cOa0T
3E19xf4wELmCgqvLoNDD+nP5K94Zc7oa6xGiUOWlbhMNWepOFwZzZTNOdFiIt7llTOke+Y6JDFFi
OpyFSV43p8ApAWkHmddXJJWDq+n+mH5u3MThfZkcJB3aVKVv/K5VbCjDHOw3K+rrccl4zx/3y186
W//tifnkXP1/jfnOWYeVVMBW+e/P1kce23aE/pDL9vdP+IvMZr+AjrbZ+VgEKj/S0v4ks5n6Czwo
4bvgKrDFXdJJ/n3KMgHcDloOYUhrDAP/PmXdFyZtwHYCY3gADw6vmF84Zf8YaXx7TtCzQfbaph3A
GVClzs7ZonFB7nqvPGWJtoqQmZFG9mi/GpHbOsWla08KfV63LNlL220YOE+pzx6NEfKyviS6elSR
6a1WGUrQEG2TkEBRNuqa0Hcmwe6680UhPs1kWmaobvN5uRgnU5wEXozvNXPJPBwGG2y5kF0a4NtO
XX3OFk1+WOy1uM89uZYh5NJ+kyxZvR1WWhC8LEvQvFjKIkVJXM+aGxo20mQ2gMppToVj14L/u0i/
uWL3BjY9/I92XKT2v9g7s924saxLv0qj75ngPFw2yQiFQpZsWZJl+YaQZZnzeEgekk/fH5WZ/TtC
KgX033WjgSogqxI2g9PhPnuv9a1d3eWuBZS4cnGagYg8syOG59up8bpbRdewEIm5XXAmj1lkhLHb
zs+alQxtuBIG3dCZNNYGhXCdx061Ojdo2B9dqTRQDVbz3OSzmaRYTCdbmbBaVyKGB6dnzRjgt12u
0yiy3YApKAqHuVWWK6Mp1GdLEc69wcfpK1PKwQob2dOmsxGRyPM+ysrNRCeDrVmsad8BAJisiPZs
ur5XJ+OtIzFHhQ5wxK/F1CpD4IyTLXbdiKjen0maRr8z45c8zyPsdRdTOeURk0Ng2NjC3Og6qfWl
DLohUmJ/EJDMQ1xcTOV7S0H5zv2JP3lSmfZz2ZqhoyUYo+1F5350dSzCTB8tIARmlTcBZliqIAgc
ALpplKbrmtjibu+JudPZUui4kSJvxPi2jJSQQb4qPH09b4UMzFTNLqpiUErIEqjhfVZS89cwOYmy
aZy6+mxMRn1btVKrvra2OT0mkFNvnBedgDGmdopt2h3GrboImimLjfPVN1aJAapvW/VRj6M8YPC9
fObJXvUIL9qE6EWnoL9oFoZVvpC9KBloHrt495iZ3qmCdRtRPdNmE6eCiz/D5ZRSYH+SralwLGhZ
TttZt5U6aj/aDAMu/7apuUqGon+2rCTD9L60XLC2AobgC2CNv81IGJo/0SESPsSFiH929Ooa4mZz
1+Pkw26SjnSTPK3vMGeUIv5JxFx36Znd0IGOy/K9OlYMCLw1ymE3d8vs+OaIfzhoUH746dR1l3Ve
xlSokeI6xGgojR3iIXXoS0Uwi7Y1zcaZi81EM9SyGbSBU/bD3ZiO84+s4UdgsnXs67qV8klxyvxq
NDSlBgmr4GVsa0OCKrCXJQ+zbOjORCpkcpnnDC5DUWk9R0koOf28cKNf8aSkYzDBWxY+I6oe1rKc
vd9pE5fKJtdcbC/QygGj+q09ttY2pkNBCIfq2KA16sEILBMx+GVieUUZMOrJvpDK7JIYYavimmgH
LQqEGQE5RzGg6DSHc/ODQCKkV0BtWI9RDtKe4B07rKaNPOtq3c2KvVl0yl1epdHGIG90M4voVGPg
eJu+HmoNWVFJT2Q9tvXDQ4mmcJs4Hoq9VTfqPqsy86wpRH9ORdsGeZ+mYVT0mJ9b98TEYT2Hgy/B
emC4M2gPXgZ46w/7YxsksNVHqlsWex0x0EYTdDYppT48Q12PQmOHMA72JyCgD4/ijJYytdVY7OcZ
VqBRYjhyjaX9HrlDf6KR9+YJofxevWZ0bY8VwOqwwsh0DhV5nb5d3NgI0WD8+uPr/8bu8biPs96u
Fy8bU2HE5ccNNfJSs47GCreLZ/2LnAZ9CXGcYULN8zENGpeF7EQn5a3zYufIto5NKwLH4ydEaLaY
QWzuy2kpH/BALhdOJk89h2+dGHRZnnVaVPjk1l/xx+OA1BBAT5UW+wba7hZTVBV4MwAhTxBqYQKn
CT98IXkmqJHWmeHaWj883ty5DUgbZhRpqjL5XIpvYoRNgKzo3NOy3+8f7I2XDGoUrQ3Ybeuk9agX
Zg320KvezKPhhqWDyZxxzI2exKVPjkS0Gd1m9j0ENe8f9Y0bR6It4xcdAAA5CUc3bvZiws0zRnq5
UrrfmzGadzyV6DPfP8xxp42SjvE0GueVdblOYg6vZNyzgWoMRuKjxQnVrpJezfiTz1220Kf6ya9G
duux1nAdMsPY0R9PlhQXXGSreNG5U2X1Jpr0HJOgOzEDadVVWbL0n2K9Hb6oGLyvVjfml15v8kfg
yHw5+tk498ZyPCPjV3wlDtveFzHbpSmy0tI3+Srde2ZxKnrzrZ+8Zv7SY4f29mpIVUAYqtVBKOdW
DnpiAoWAYrbqt8iuuq1SNMO5l5TQpVOREJG7fH3/5rzqwHN3EBIg20YggWdGPXqvwL20i+sU8T5R
2oKpa24qNBLs+Cxq6u7KGKp2k0RFepZ4uATtmApB5N057Zb6yhNt9ViluT2xZZ+c3Ud/GSxpCi/e
CPrvvPJHLaNJimzSGUTtIYrom4Ty8nPRavb5jAb4aoFle6akCAqCBe1/7HcmbQEJ7zYcZT/T76Ce
HXyGYAZqQZpPm/d/3auHmvYc3UguHpYYRrRH342GbVQ325jUDaeYAmz7093QjTj+V2/C+4d6wd4f
fgn5NpGJCH1tFbJ4R7coWtlXpHJWeyLXyDXimS6+TgPPCW/AlHypm9yCLWUXxeU0iKrcgG9xnqDC
9vOZ6HvN2jM5SKwdMIP2dhhi/Vlrx+UCstEiAwQkeISNxhRbe/TKh75WdOR7GZ7WsEAk15wYabyx
5rDlYsiMZmUdOh8tBohTo66TSr6vuEHBokzaecfq8NEl52W5If0D+5DOSnC0nraayPIV5bI3chw3
Y5s7AICNnAJ5OWUfevm7Du8OTDzd4P19gaIe47aXJUpqdY6afTtaOHnKKUFzrVqkR/hst+3Ohwao
3ALmFF/qPu4eETBgVpSOiwRejWLoU6Oezj+1OJaPJPPON1Uekcnj9CK5gc2fxBvMlTmYtSwiwqWD
WBQY82B0oZub4sm1FgCUlDe8tgs0FiylY1TeOmmfyzARemL5E5TXIsxB15xTeSSxn0wUAVtwUi2Y
337Mb8GVUO12jWJrrH2iRmzv9jJUPfCeflZGzjdNum6NmVo0Jq0/OL7BkpCwsrViGdXnqch0uSF+
Sb3GhF2lvl7Y9adIKLDQyH2jD6ekOXqNHApHvK+rPqZ7q1cDPlJD9gGbSJ2SPQZPJ2M7u2W7n11H
pgHyR6WPUfsxIMHOZ54LsUtxTVULrFR0bJl7r87CCITWlcbMEG+Jq50aUb7xwILFdBgumEDdAVEd
fr0iV5h8JjM0BJOWf7ewyF8jIvBOLCf6q68AjR4eB3D2BHqt/f/Dw4CdmV3iYqv97PEBGugdLrsc
97zY6kkOJp1/HB88J2ImlikZInssBmwq2ZqIbE+jgS19Os9xH3bq0HQBONqpwYSraE8afLQU1/No
PDeuRaI0ux86cwSgtn4+ROy6KqGrn7xFlL8XiEc/ldqJrPOWx61/6EdEDbQSNEtjhQVkfmI5eL2M
0jrCyYVMFhfjK31ZOTpAES2z2itKrnwveJPGwJaqtpmB2E8nLvJbB6OHhV2L/66DhcNrnOmKPWtV
Wu+7pB52/ZTFm9Rh4FeQln5izT5mr7NDo5Bz0LKRr0HfQD2qrRyRegU9lHKvM774XM91j7DcEJfO
nGuJT6N2OefLV4eRIot7DXMZXapCZ+SQcBdPrIavS2fUtJRgL108/tajD6mTeZnmptR5C58oEomL
Qg1n+lc49TvFov2siQ9faWpnPo3sGtmHUK8fXum6wGGez3axr8EDBUpM0wHhfUews66deIJel84G
4AzSVLngBsbDo0Pp0gUHbM7lHmxmF+rzZYWl3x1dyAG9tcb2VJg59CH6b1xTzozRMc7AtVF5eIaF
UNMYdRQSpjTP/GR0w9QuzEBrzfuRIjp8vwR4vQgxdVyn1RwJg9rx1rFSWRar1C33VKxJWOIsujDp
X5y4lK/fDwMfwnqIVc1COtDhOS0dzbChRkwE7xSQk47iH1cXCnpu54lDvXFCFm8H/V88xbQwjnZX
A+SNQleGZj+W0/Qldbx4h6L8VLrTGw8+8hFI33g4GT8e7+GATaIOSctmL5ptr41ctCqTvjmlSojY
8MO3yAZqvJaF6yU8PtaUCKHV8EP3MTasLRgl0J9zMd+8fxTN4B4cVhvcfjZt7BgQhCAIOrxHkqB5
Ok42F26m2qRxkhs+KQKCSN8aklKiT98QE9ZnXhrZP5esllt2TMpVnfVZSPpatelNO//2/o9647kh
XIIvMUJUtFb2US0snHaobPqY+w6O1nZiVOBbMFNDEdfe9v1DvfHcsJwyaKCuQ2J7HG1oZCpkEBHV
+ySTS9hYbR9m7XiqpnvjhHipaTVQprI1Ot4TgYKLq6XTm/3SY0gr49a9wSzmnWH7sT+q4UdziU7B
WdUNrqEf7/xRokOCM8gjVCxuIkWbh/UlM4NZm+fN+9duvQ1Hj86auILn6SWY+Tjul4EQ9ipQX3tT
LDaJEf38uOqffje9C23F4v27n5lRf9gXvlKUcNfiEMI6wLf38ImdpnTMDE22ey0lUMJRpL5RkO1+
/PWjqbZ+cleTAi7nw6MUxUy/ufeafZqN6udEWXQXtBo7mhMX8Y0Pu7kqu3ncUaojS1lf0D/6UDVI
5naY9GHvuenwRBSkuCXur7Zps+cpJipm3TBvKalqWsaj+DozZa/OKKdNPfScLn98/6a+/vwR7s13
CI8/LUW0OIc/hwQfgotnqIBCeAUq0DHaKCKbN2U0d20Q6U760HSuJH5ySMxTZprX78laESOJWTun
9C6OrkVHl1yUEylYlje2W9W2B183DDCiS3NKrvX6xedQL2nia7QUWtvD8xS6PUgSsoe9zQhjOxr6
itdUTun93jwhxo8QwRCosrk/PIqZR0z4mhiroibLS8VZWF2FtIzbxVTSUx/1160Xum/oK01eewo0
JJCHRxuhpotu1OR+tEWFBIJoTLx/hLRfeKkF5tzpsCmUw8wYq6dBRXYk0OJv2F2Nr62wiwBkb6/6
SoJvfS7K+Mv7T9arn4d0ltY73WRcJmj/jw1ZYOtdN1HdFl5zH7GlRYbQ+rD77a01j8tjkU3aD6fQ
glHdYQs1QXQ7jJXq3kt/jyam5KaX8y7q5vREDAWtZS7MnyvZ+suQj/NE8AVE/3X00DeAnYYcs+/e
NFqv88sRttSG//0TJnO8dQusV0E6uNadtpRmihM7HX8vjYuAR3YVtF47h+Wzm8vMeJqAcVkbMU7t
HYqO5EsXY1IjAR30uI8qA/FD3hveDTE5i7tppR4nfuyVKnBxex6Kyy7vVvdFNuZfqyJtUr9FmnoX
p9aEBbd13HPspq55paXN/HvpZ/MJ6xCUoqJ0s9GP42jKzjujsJxAtZRMXUVFnSAi1MiLTZLYTRt4
ST1WPrRxyG8mBm3kiUa97kN79a43EnoISlPSNeZB6ye/mvjigxNzo9ifqoiwMcC/vQi6Wiv2kwpb
wYd4KX5kEJ3uJsCqWOwTFaMxpE1gnLQdcXILS86FH7cL6N561nGyDhnA4U0NZDj1a7QptW/hex83
mRwgiI/j7KZ+qisGjKoJx7o/5cNw7UXAJmCj6eqDAvTvtwFcK0EpaNJ1AGuU5+eFMisEE0dR/hvm
fHcx1m7R+SiSGMLEi9UYzJeS8UaThmB82iTm7Yyvnfkl/L7d6CGkCQosZpiEk76hpVJPahT2oHVL
H4wwJvp4sM1rFZ9sj7J4bsdPTpMYd1PkcXPrEoZwyLffqIKstGvmpDODc5/BpPW9nV/yWtOBL/Ek
qvG7KYzml96qRGCOMy44Rzbpr7bPMPQOxGj9LGE6crWqtsp8Q6vyK9SribEvF6yudG3n/sf7L+fx
ss8boNOVQCK4bnrwmR4uHQBUvViL2mHvFt68zwHtBgzotbt26aFTjVH9pe1WEVViGqcwFsdFNd31
VYVO2U400PrlOTz0YJRTN7Lg74dMRLc2POIQ8Zh2NqtFv8W7bu/eP9XjNXk9HmSUFcACackw19/z
xweXrszSmazHe0oLZWfMINLl0CTbSRO/3j/SW2e2+qiMtd1KE+toWZkBfBf0C+V+9VVucjsZfS+d
6m2j1c29iTJh8/7xXq+w66mtjChuJ1uH41NzBnWJASDLPTCbOEgMT1w4pYAcXEc1GQAClMQwWxfl
4nj+MuseWLBCni0smPuM7A1/RlPwyVChD7//w44rRS45NQVhjozZ0J4fj5eT1BmYc6OyKBySExcT
pvpU9/VVgnww6OxsvHHyPjuxrL86KLlf+mr95T/0OY8VttKqFFw0+Yy0I+7qUB0GnOKN5dZ5qOZG
eUsXix2OAhjiRAn16gFbD+xRwqxQFr54R1WMk6QpWQ/JvMfLFYODrEw7AHdshCI11Yf3r+xbx1oH
2vQtOUMclYcPc2IVZBmMzbzHudmfNcmUF77eKAUoi2Q8e/9Yr9YIzgsKGRoBahnqVf3wWI1KvsrY
WAt7pQ5upYlXvP80ulJt+MJYcgzzrEfpmytFqwasI/lHN/lIr5nXUkWBElHRdB+d7FIsOAUbV9+b
tZzvLdnIMIP2fv5ymh/S//3fpuxjl0K9zvrzn4V9AXDc7rH4H/vHkef5b1Luvzjclz/6j6JP0/5C
lr5KMxgPIYXntfpH0ae6f+FGgzQHsY0u5LpQ/6vos0DbMrBQsavh6kdjQbkt/iHbuij6qK6osvlr
aWBaHyLbHj/wgAzR4K9CZv42m2Ly8CFEMONpvZIuuyRKI3g+dXkxLln6yUlAgfxxfd6QPrw6FEMO
1lK2QytOC9n/4aHwlWdspS11R66Os0H6YN96skgJYSr65w8finEpegdSXpEjHA8FvLYeHQKY1F3v
LTO6deqfoQDEQfNMfvys1s4mBa9J40Y9huApUz0OSdtrO82MABiRrBKmDVq60UpPNVeOs41ttiFr
24PHgiKXqdDRzdK0icaHXuhEGSfKhT4o3V3cqv3NrJTZ+VhmY+jVFdFnpEGe9YsWXXjdMD8A1nHI
Yojj7NvMiCacnK66SJAM5RsH2MnvEsDOBYtUe6IwON4SvvxaLNYsMQz6UE8c3u9Si3v04vzaOLaj
LR4xCBhQk/4bR2FSqbq8LSykxys2As+G/o2h71Typ+Av1QOfI7e7fv+BQurDr/1zT8MQGQcu2BBc
EtyGYzFGFYlBjG2Wnlsm7RLYCsPCHM0bO3c3zQO5JUPfQNONsHiSD9o4dNNzR492riKWb6Yd35WJ
an833K5VfddUyOhG1lV9pUHY3BdKaQB/ijLrfHE68cgWsl2RymgsvdaiIbOgMMygOTE78i1gKp9d
kC3PrebRPO8q9j5+SwgTcSJ63aW+1Uhz8HuP2KIgGkvd2KhxBsimtcaEcGUDe7jJ3+SSmQI1IKxs
0qpAyivov9vaHX1rXqA2W1pnVn48SjX9TK6D6EKUqsyeRQ/a3kcID0JIkfGUws41651Ltqn2qOsJ
e5AF0NGDTFv9h8UkbrGc6aezLOKzoqTyUczmNIWp09U3jWTw7WMBxRqQsO9gIqbhSvDb1UvI2KtS
MOy6tuDJIU3QuSVdAStM3rXufJHQgP2xyGhRA68WJrknAC7LMBuK+keE3A/OMSGuaZBkXvS1KufG
2jilo85nZFJbGy+fOyXQoAU7n2sUDt/NPpruYFY1ZgD4uXM2OCDi3/EyyAx2YdFJiPS2uF/H/IWf
aDK6oK2j/Vyaune2XleYoJ/6NLlh8TOuYFbSGUDTKs+Vqp2XnSx7me+sca5035F2rl7IXCbj1raU
+Ep0y4Txgv/je5/lJc3ZKiHGkEiazP7SaOo0Be4aTOTXNkYZJLMu6ugrbkXuhDozyB3GaQDZo81C
unEIwXA2amUM03mkgsOi41Urt1a/amU9SDHIHkvyLHyRRdHV0gK98c0ShPo2i8kc8+OEjBNfCNDG
m2zyZg1pc91nm7jI1W1MOLMB/Lt1onAqo+66dj3lyZzc7za7WX3bm32KM9SMEO2aepQlfhXP/W8P
Z6ztu0QtjFQzjPR8bn7+i/0uMCk5K7UEb73gfjHcvENIblvDk6lope5nhRqpqG/1hgynKIk+CaL0
nCAquTShoQNK9pPFzfnzxVTe14ps77PJsiN/0IkLyf3IKEEm5Zr4NEn26YGVO81vliqDLIQ5Mabv
srOEvXcnTX4Xo1R+1UsBPp2X2CoIlijRrXjEsY8FmT9aV16Rhmc9lI1Cd0IbSuNTmyMgPhsGx/pk
A3DT/b5P9HuFDCCbhHvG6z5BSHYcDI1Mv3pdl6RgtPvsloGw54bdlCfFVZIJTh0aGX2NTibR7zpZ
EAFM9qg1yNyzpT6fbdVqt3VMdAX7eM2aUYPPeh/YfdnemlMtbxKBYR/3iWDPbLIGXoOcWbJgmnNW
iLw0jCEc7VJGPh7cFFJcHFtEgqIkvqjNrFD8uBw7RPVOr3w3yK647jrP6cOXNfRDheD/00YQCvz/
XC/+r6fn5M868R/rB3/m70LRo64jqADoFHmR6P3W/dXfhaJn/QWlGPEhH591Y79WM/8UitZfuCpJ
EPIgyFLCs0X9P3Wi/hfD3VXFY65oXoPV8CPGjxcr8399/tjcA7pYYcoUpZqJMeVor4B3wYyswbO2
Zdn3bmhr8ZD4OsTcG3xgFgFMy+L9queOttnUKPnOi4fxYQTBBR/bNJIziJiZtmkqpXmI7JgEwTZR
SyVw+yJeTlRkL+3F49/KhQTTvQ78GHIfFh6Jo2ZTEw3Q7splvLOsQQ9ZFVz0Mov2PIyjclN5Xfnk
mZP8DOgsDuK8sFufnpu1cnq8B4AX0CppnSCcIwEs6KeofcYN0CEnV5HctFFfPC2GN12xlJcbPSV6
Z06r+dLs2nJjdbnYTIjcArVok5s/Hpo3iujDHgj3gY0i9QfaYWZFaL6Nw3ObdMyX7STMrU48uMJS
9lRYuXwgJUfbDF42nbiWRy2Qv49HwbnajmjmIkM8PB64agWHKxxaCPr6FZZJ0shroYWJ3lL/SDUx
rrKotH40hU0ajmycm741yBci6O26Yjm/dEBV7myi805UZIfV5T8/DA3H2omwaD8d/TCUU9wzU5pb
Mmq8rVcMxVczFuWJPfqbR6HZsrLskZseX27HqAZ3lhqXu+jqe3ClEV/CPjvBkTncGb2cC5hyKDJM
GlYmEYvCny20mpcJdVlrbMGbir1UxUxMQmEH09QPH5rDrYd6mZxwLmwtV+3m4aGEl81LjTR9K/si
v7A6YV+kmZrevv+Uvj4hrhWdImDGK9HpGOVUIamjMlbGrXQyokpq1dn3igkuYMiLh/cP9eoOQezF
+YN9nIEf2fRHC1MbxzRILKFsYTrRpsfFEqhTc4oOfnxCrHooIVacG0U2rcf1V/zR5GwTkhXHvJJb
kJvzZTzmRPQtZvWNcKzm737JfwQEv3GoVdBuceWwdLCtPDxUVsUl9pFebkVEQTHFtH98RGPqd2DC
1anH4aUR/edayYm5DH/BggNLAZRy1L0tS6dPErUHPOMV6PaUbmluRFJnkZ84VnShj9JU6LIm2Rlt
gqbbK9JcvlEe1rdDbSRfhJdA3Fb7KHlOI+ldZ2US6Re6l0hUgSoqrtSiZN8MsiCTjvjuaVNLUHKB
S1SWihmbIBA/EwvtWwDDwofBLK5sstKMUFsK9bcD16cLGb07Xw2pyfFSuDmUSqfPnQHpkBVfq9mo
P5v0rtYc2qK5rksldeGoT7qOr4tM4AAKXvqgFP28VysXfmVJbuGt2bOjDDqr6H/YRFPlzPPNqfcx
9ykFiRmyu4YGNnUBvsM4B7pLlbdgKBrOXAK1rl091Z7yjgjIje2M5hyO5mR+5Y3LmZ9UXfUpH9Wu
3c16Xn3T1bH7ZGvdC+Jmra1JoHLuHWOKTtGUXj84FK704PkwoAtgBn744AxDhIW6VOUWKK3ht5Nh
hGabutspY77y/ku3Lq6HTw2HQlu1Dh9tTCxHz+isEKwT66YkoExTLsaeyxON7bLF+a58UTGxXCgI
z76+f9A3zo8qiBUSQZltvvTY/nwHAe21U0167tbOFUZx8YBrTjUj8loG8udPnOFbB2MmB9cH6A24
wOPPSyyqhL3cRBTzNJDsJKdzroPhIzFxww+fFwpljCwgR6lZjkndgixGO2b3vEWKkJxlTZk/2HIq
d7IQxofGUohYVLR4dNIhnyI4VK2jxRI582iMmHO3ipXJEEOLt2+ks+zSqtQ/wQKf7r3BRWGiz9kp
xeUbjwzNOIbo3Hi63seYpGxs1uioatqSqaqSB0wrrghQKGhfCqd3HlFT99+SOE71D99I3on1a7RK
zFYUyeFb0bqYuephVLfEXekbI7GvuyUxwpKN0eb9+7g+9IcvBTx9Oukv2i9mJEelGXHlWC0ib9nq
g/VL9BbYCgANJ6Ywr59LDsKJrC6ktSQ/qm2pdu3em4H/1rAC/Laz+50HIiyI1cH5YIWF7O/gUEel
Qi1s8qrmUt02o2bi0kmaswnHxYc/dxwFVSO6SWuVGq8n/MeXFdUag97eXbYLlmHfoFFxViRwx6PE
rk9cuzduEHxmBmdsolAcHsPYBECYBbyzShyVZWyqgb1JY7bWidf5uELnsoE0W62KdD4pgY4eOK8j
W1qwcG71LKtqfB/S0P2KONefnTaL1QeqpCcO+cZDQeOTOQ4vNW/1MbyFL4ytokhXt67Q72Il7S+c
IvmhO6L7+M1iD7gK4Vd9I8/f0c0qZ0Gk96Bu7Sqdb8c5Hvbj0idns0Pi9vtvExjT1+8TbW6m5ww6
0E+ZRweLbF1x5kbR+YD1De409BzOZkS4eLs0eq/s2WOQwAkuWM83RkthtsHGbF4QndbCo59otGwc
AqtvKoahAGs0o0h9HgorcJ2FyLECWTVO4jJ10XJodq+Q4B3pRWhExZSeeSY89yAeyEYA+u1ZT63Z
mjf05KDhDF6REVnWVcvPaWXpIznI1epTM0D0Cbp4mR6ssofajQ/IG0M0Xw5NmVjWq+ilzUjAbTqT
DXCedj19JXRhvqbL8Xunqb19OVJ26WEuNac7I0xMR2IiEURsANu3dPYbq8Ebn8VPxoTxe0c2qRkH
1FVeOCtx0oR0alWLULIiuUJsQmO4h+T+1CaJdem2Kjx0XaufijlLZvRZbXM/Vx6SfkV6JX1ANVbR
U3gAFeCRGCkylL71thHjFC1gXmo/WoueK0EzD9GtRQZ5709Rx2wBT+JwFpWVR6fS1JOfhmVV6WbR
RB4RVi3mfZY6Vr0Zm3iS3zN7EN+E2UM8d9XCtIhf6Aazhzk8ynKjDTpEHU+VmEsSafbZZ1NvFbAm
uptPd+D8dEYrSWtjh2HTmlzni73aUtgiTOd6mRdGoGn4NL6Ahknyi6EdE0iycGy0UI+79B4VnjR9
WrtRta2sEVlSNRN0dxZDsNfRmSS2feXOKlb5sURg+hiXy9Bu2mpwnmVsGDkJbFFNnl/pyvSsSnvU
VQaxcTp/aQb8wd0Ylmi/VBi276RI04dspNEg+PTcYSsYnlT2qSnpEpNKOIZUH7sCxdInp4/kXVZW
6YWHCOoG19hC4kEOfX1vqGUjNutcDYgQvn1664qTZ+HgSnLGK2KyL2NLhcrkLhKrgFl5sbKp1BJ4
Pb80/rEan0iB0uKiQO8V5+TQynH4DBgIZz8ASnlvd7Jbsz7SaVuU04g6Sdj5sHNjc3jAyRLdDlqX
Tnu3YcqT+yCphLErY62RMDmSlHmAk5L4GAD0lsTGdFnF95WC6twlTt35gtAwRcyTGo3jPTaVPtJh
7orFvZ9qnKyBRx3CpZBK4gVD1MWSHjcSnSBOSQvfoGYW1qYpJ7DJs5DmbRc1U7oQLKuYFx50TLZ6
itXtYWpraqB4vMtAq0ZPuR40Ejw2KkGBcJikKeQmTjS98G2Z4NcqhFB+1oQR1DduzKT959QOYA3q
uaq8SzVj1L/vc9hc1CTtwHgiTX5k2COUoPNKIgQaq7QfPTuR3UNfGp15YjEnmfRVHcHOjxEvryot
l+MizTRkli8AirYONq2NkhbFw+Bm86dGSP2LYwze1cw1Mjd0shBZRnH9pVAMY5MCYAnXNMJp9/5K
/MZnk+E0Nj2og/AOjxf9cnCVuqytZTsovOBt1z708l9K0H/c9b7x1Tw4yPoj/igDMirX1AA4uNU1
tmOwSlqNFuEUKMO83BpdfsqufhToupbCDDXwatKf4IONiObwgJVooGw4+rKFnNwh8kAFTlikBR6K
SMtxmXxh1LNgkFDEd8aK2wrmYsDibTREXwWpmTQ5DNe2uIk0Nb/I19XY78xceSZiVbtYWvYWQQsU
rTufza55eLkl/7+V/j//Vl6wL/nPnfT7Z2hKb8su+HP/yC4QV7jYfrE48UVfyTD/dtNxnv+FJI+y
Au8A/2LNcPwv2QUqWhp9mNPp86D+peT9V3bh/MWGCcIrvfbVAkip9ZF++uHjzqut44gy2O6t6uwV
OXH49OWk49ZJHfe7ISLs2lRUagNPfuuMVJwhms1OFFOHBeJ6OH48nWN8L+SlMS4/PJwNYXiSns7h
6CYFCdk1O1OXtl9Yw2nk8WHdti5bq3mP3vRqvcJQcPRmjVSQQ81ysnOITYWvUskq97s5GXG+qMav
CcIZNtw44ZytZpxtZKCtuEaVsBq1lSIpzjwCUyhHXuZ7ysusz8UN6wTWywywjgrwoy+TQetlSsim
YngiHL7VmN2uc8TpZabolUNahu46aixepo55hCnHb5xKtzk+g0lTGcDW4Y7ItWBq4wxSD3Wgvo1j
5Xuzjjbndcipvcw7AdzBQCLIR90aROtkG1bEbDpTvDJxfT2yvEcbFPhK99EpUSaQLC17mK681nPR
P+WxYpMtY0XWLcq+Md8xMlSkr+jWZDGc0IryLGnqhZyucWEBH1p0DdvJ0pdmV2QyIjpA6++7zLNK
XxNERwZTp6oM7NwyfvYyXYe5VVbJjzRtuviySpSs39fET7nAW8nJC3rPiO6MKpoKXwomuQEApuGq
tJXom/Bwyfs15P3WH8FJqRtLz/pnAEqQkWTdG2ZIXyv2NlE7SgSk6CR6CnByJeFsoCYFzsM3/qtW
KtOzZBMCNEXIodoq5O4yzzcj41NTtaJCaVy3hq9VPUbleCmJHsqc1rlJuwyZgZdHWbqb0gyQBuN3
8tAWp5keLUdqv0jiMW74BsHgE0o+MkyPsycjJ6/X74bYYNgLGmoMMq1r75gSS3TFo1J4gdY1+rgr
raU5L6tZd0Otc52nGPxK61dDbn1TitF4SIYkBQ5JJEd2VuEk/EndJ383XtxdukqzKg8Gg2gxS50p
WM3cstsNcsfR2M2zMd52EP0oMBdNMtgvvN7YsFlBf50YXYKywpUldXBWJ2mYwVWKQransvMFUXPD
+rFxLqGbmBPJG1N/rRdTXG0q+JY/Ggz+OfRtHdt3Lkx3Con5QimfV7k1+YNh8UYJxRpuETS4QJE6
mwfbI8kIl6qdUujA2LSsxyozSrkp+Zhav1W1SNW73NWq+ln3FPlcLY311bay9hm6SpqcZ+xa9fMq
GtI4gCk5f2mdBcs2+T3lDEdNOj8XQxYRAWHq/2bvTHYjR7Jt+ysPNWeCxp6DNyHpnZoIdRGKyAmh
aJJ9Y+zJr7+LyoyXcpeuHPHGhQIKBVQq6U4nzY6ds/faHVlWS5nIx6qRaXeTGVac/d18+O8O95+1
hwmRl1Xxf9/ivKc8ORkW//M3v1SFKAQRADPYpX4hD5FN7B9VoTD+QO2EMBBNH26rdYz8a3tz/mBj
o/v3jCl/hvj+u72xXWIQ4rPB01n/zdjAfoMTeLrfYEdBW0r3iDMY47lTKNWklJwzjYEjGZFUnNmn
bpPKDGOZWJYz1elrwxdNIwZZbOmASNjdT7ZSmUYRW+kCGqYYO0bSNBc5NvNOMZ+5pn8dH3SAnrvI
gcOqRsT4DYbsd7jwsu2Ln+iN0axzXLgTuLjWDJAbXVqc9I1P9bQMKxuCtA39kHVRwfQOsp7mWU2r
+IWd4YNRhAZ/aRzYgh116q8KgfxyL/sW7A6UVkY+sYnhaAMGRzO3Vi6tz3gjEhc+ojLfzEmqfWdx
akpfD1MCEdnwAXsuGHSpl2EF+e6U8bWNrgkBnzej6TmynCfIgMixvF5q/UO24Ay4KGdzngOLrLV2
a+b1Yl5KBWWY1TjivgWheihUp1t8lrOw2yhEgdKaTkcz2hjdmn7W9+7QbWvQLx9gwrJCtmIe8CPj
3KcwlulQ/oyxSv8p9WwIJgA91yTbKRd62aKMW03pI3OWdlA2+SAmzoOyVu9bLS2B1MqxfFjMyP08
S71ZzTHOpG8sQIVdUPR9uTPBJdbgDDu725hulH7SJ7e4rXvGNFvEzGSm9mEy/MRFRGC8YrX6treN
3NmY8VKlD4oSj0oA11X2216fyhWZj0vcQ0ep3WRuppl+PVba6PdjLy4Ns9THM3XY+iz+2yLmCUFs
yyid+R5vp3Dc9b15ccoZ6XDgbquMgzVVrOm0Eb7YgBx8BVXnlZkq7QVIRffAo5oc3n84TwvOv6+8
1n/UZ6vo+PjKg4t91EU3cGgZzt6EBFNsgR4kq0Kqf4IFcFY4sHaHT78qc2TeA5ylSFVPGtW4oFwF
eAKKxsFcCFiCQXaHeTV3L2e2rM/DKGBg9oNjwndIovhOqwq32CtTrl8MUlf+Kz7qkl9h6tzkVTz+
v28nm5U/+/aJib/7taWAisVrzgrGUsoixg/6a0tRSUtfQw7YtVbCIH/za0tBmvS37JmWMM3nVdP9
68Dk/LGyDzm305xi6qTzEX9jR3n1/PKxVpE6rk++rnbqHx76HCVkv2SHJZbag7ZMxmcGqfU3R+nT
e8YsyZnF/LjpwZu6jsmYihPehzECXcbx+1KHstFDpcsPqHB136pt574uy/Lpxc/wxpbxevNaL2Ow
cfGOoO061RVYZVgh/lTyAyuusRltFjJENaI5hGlufByXQblITFp6Oq2zK+Dx+kNuNuUmz/Pq5nc/
CuddGDoIRFgr1ub+8TdemGzlsGyVfSZXz17kLHHiN5T4imegGJn92ZFhsYlME527Aldf9WcZAQJF
GDEZMD4FUabvf6ZXyyWfZVXdIFNZ1Ten1nRhdLFDFFVzyFyqZrvUyZ6IGd2IRY32aJStm8bSGx9x
Whi8f+VXPz9XpuxF6rFeGSX78c1odInKqsjaQ69Ig5lsC8BBS0zv/au8eqjXe02Tb6UzUCatKQ0v
t4NpEnUHBa09ZNBpSWMlbbeovzhx9dMy2/BMobT+fkcLMgmRCEpQyED3p4lByfjyYiLBCp8gajuk
DcfiZGHgnMHY8UpFnAuBf1YRvb4WLg/8yXy1UwMwU9wyNIx4PKAYrkmrUiIdRD3C2cth1hPECby2
agBZzxj8kekf2dIV4MYqcQWHPKy8S7BolXrVo579kg8OAXpZ27TXjlvSI47V2JG+5HCccpJcgB4p
eGK7OzWzsmxTw4VDwx72ZNTCJ+46gkgn4zsZJrXhJcoIxG80ahF5STNXj/PIsZZoVjs682o/21lO
78EqCcBCyCq4Ln9H93uMtHQUsq4PbZ4uaxauqzZby60S3R+WDJ+y0a5iewKPp/CmjrKJ8yK366Oq
jfJeKmMWbVKjVXcgl4xb4n6TDwyYq8+wUGEGuzIuP9H9zy849Y0/7XSAaZNg5iZmVu3k49gzS980
CQ3rByFpQPlTVAjnUnaNZu7tPF+6bxoM7BYvcBtPppeiRB/xNGpqsaOEKzI/zUbuIx2GdrrueVPi
jWXF8yWxMOk3kydp8bKYlZ9OCrytIM1jAYKqoOeAUVL2YsPjuBhXY50W+W2UdMkPzWinp2icGpY4
MmO1zwWINfN2iPL6y/vv1VuP+jpP5nlf5bHOSbHTDqRvGDRjD5MhtY06548wO0zPrlH3//6VOIEx
iGeCjbxhXUdeFHQpUaX6CNftMKwkOSASwy7TwExMQ7Rs3r/U6yWJoavLwczEroWJal0sX1xKttT4
FXENhwpv7HVcTUWQa3b+2wsfWzzYP7GKfVdV3fFV4Am17HVldegnNQ+6EQeLVhdi9/53eeMHouPO
6RDVCy3CUxgPWcpDt2LSD9KMcwaf2pIGQzZnO1OrGK+9f7E3bhyt4NXQyRYCcPLkKw0LwPhZxPKw
SOfLFOrWYaBoOfPrrKvn8dtO45NtE1Daeh7XTy4CpL7ivBA1UMPMcc98mdFrRj+Q0KLciK9FOaoH
qEraNaKeQvdHup/n9F9iLalPPgNYKNIDVuUgmXNrSf7iCamJmu+Nmu0yztP4oVbksgntMIy9BUHF
ddYuZsLCocodkovyEA3OcJOHLk6Z9+/3G7di3TpdFDfP3umTj6GPkngNR2sPSryQe8tIULR7vDFN
72e1NmJt6PSIyXvUjtcuaDDU5OlcD2ce5NePGJmMGsJdnGF09J+nbC9uhkYwiezavDvUZV3fOLk6
3OWVI6/SuVrOlE6vyxQuteoUSEvEBP9c5L24VG6wsaXx0h2MNlKxhpXZsuX7qjIwaRT+SN0abXYd
Kk+00obfhwTT0MGYBmqAkxbu+OMfXRHJ1NN77Q4TLXJYklnrd5Fen3m8X1cqXIUsY2zwzEA4IRxf
hTYz8EzT6A5lXD5FptyJYvow1h0N6179//lKGr/ZyjjD0nCqoJF4y9hulO7Q6V3+pc+ibtMBsrx/
/zF9/YCwO6FXQg7kOjwmJ1+JThlJAKrsD8QOl5dqBgzDiaBB1H19zpHwegXCXIu+G5s3bwWPyvHd
s9V4qAGDjQda5UgrclvzmDmee/9fXWXllq+rkAbQj33vpMBLl7S0h7gbKaNE+aFTGW1QvTtnRFSv
ngTmpfzLecqBo+q08Y6/i0E/KoG3Px4y3YZO0gtkCH0Cul8BQjwa0Tn93pvXo5tIDU5rEvHK8fWY
criJjtziEE6Rewcmc0RCPNU/BribO0WEkXVm+Xr1Nq8KfK7DQXMtmE/FVEygyBp09fGAhMRAZhrv
pyX5Mo1ih+PvIxKhK6A15+qIty/KM8/JdlXonHzLstSlWi8Wv52qfnHtxYekzpygdmcPjmuJ4rn9
OBbjmRr19fFz/a6cqyFJQN/jkH98c6Wepq3WVNOhiRCPDUINlqGvmSVp2SV5aspd2tTDw1SWCVkc
RWPcYbkwfsDb/vT+u3hiM1lbp0zhoRo+EznB1J1sn3kKQbZiEnWIoDsgmTId2zOFDJNt30Efzes0
vdKkpKuXqPYOmJh+EVVddjE6FXnqoSgdfJWlchvHnDLOPBBvPYHuyvJDIs9TeLq1i6lfu8/udOj7
YfZJD/mGdGvXWIKc1io6o9B9tSpxIxAlsJc4rH504k9+kaKxRnRk8yEGm/mxH6NwHxKM/SUMzR/v
3/M3rkS/nLAgVB3c+1N81Bh2zM8JyjtMpVVejFUz7UQv8sNEGNfm/Uu9Xpm4EuLm58HDKv49/lJL
2s95TSLXAcuV+Wj3dvaUNdL037/KG18IVgI74Jpjx0548jAj8EnlXKYqvZQ+vSnRG18WhRLeaENb
nNnxX1+KaFwutbqi1jPR+oVf7PgcoHPa2ep0cFJ73KRhMwag7AlnSarht+8dl2IEvSY4sf2eNqKg
SQrMDOZ0IE0NrkseDo+UecmZgnw9ER2VjlAb199olbyzuJ22h2tM3onMovkgFklCk3RSIFn6yo7S
la3oE2tfm0O0/90fDF3GykynSQws87S9Y6n4uCejmA9JhHuNdPTo88Bd95QqWj69f6nXTyCXwraD
iIktH17R8Q8WYfducXhwKcDb+7yrks2MBDF4/ypvPRbA7zSIPHQ+sSMdX0X0JCvSxpwPRuY8wAmO
N9Jdk3FK/Zzi963v42ARQr5EKc3p+/hKjHhtJLf6fMgm1HsErIee3mHvff/7vF75+GkA29P6Bd8g
TpeIJa7yyXJBIQO/vq+6+tBBKobdJf9ClnsupuT1FsjFeHVt1CPPC+DxV2pygbF9bpcDFoTZ8SdE
ug9jwUrp5YXsOsiURr94SkQwJj2PXjsD+nzzu7L1rrUNzrXTLN+islqrHMblMDkY+f3aatC6qbpy
kK7WknFTzmdu7utXjq+6djZpMrOpnDpqG3uxaNvEzaGd82TTQVs4TNOoXboEoO0z5kB7x1rGz+//
oq9vMlZxi6xkjBACU+PJE6rNJYY8y+0OTVEQ8i0SpQLAUNhW7OdK5qCzVJOYaWSeabdZtbTnAI5/
916OVxqWTaKrcTgzsOX9P/6ZkfWrCIgW9RC1CAv9pOvywW+admw36Egj0x97002CYaiWT1gLJe4y
ctmzjTa1HB3xysyhp+mlcscgYPwe90Vb+xb5GB8B5ZtQBnqVAbAUTtt96ly3xcI12cD+Oomkxu9G
R96NYkHlYjSt+hfJcK0WjKJJW+D3sBzIyezHeD1BtUXQ27G5s7rWkNtkqcPKS/sGHAQC2aHYC23Q
STUTk9UH/HNq7ul5lVRbhDqdgi41XYPLKJn4zOUwUcdonflpUssGYRPylGjVmQvVk0OEmHRqKjvo
izJtgD4ZhXpAV6FTAiTS2TQtGsRNZiN/zhvRWdukUcSfytjTEu+mhWzPwUYC5GVRugyevkz1TujC
+aYWPLhbforQClRgDJ+pbZIQroDCga2b80WjAwk105NRLRtfK5f8AeFVyUx4UctPcVs70WEmEzTb
5rmR/AWphMYjQZS2u5EhsEY6t41Se9bkYMlrrbT5YRF7G2/ItZsueycbSDJYbPg7FgkY10NBGqpm
xfABeyp9EqOArESeOgAa8NDaa18iuCqPeIfCyUugA90JeqV8UiyrV0xH4nvogfREYY+SKquNOdJc
VTa53JncyG3lIurd9AwcVU+4tCGDVDXSWy3pVPiGhhiVvahhkHikxozxDiUUCG19VCJgsJlZQ4O0
DGAZ7sxhHjVUk5k7t5jyGBskoJJmXpklaa8OT4SYtR9LxSy/gyPsfxD6aX7V4kkkwFe6QTyxuVZ7
Qn3HJGjbAkZK0628lLmZxOghH4ajgtB9ZaowhFsLe2h9QYHdbfDyFcFCghc0lvCZzGLA3nCCbFqJ
Ley/8f3yzHEhAwemSz0SReq7oaP3Hs1yuC/1MwNGn1Z9Xf3MhkHx1vw0VmAMZj4Ke100cGQmVRu0
TcVyG/F7gprRoXQ+8YiYFH/UGp69QmnCtC7v7GdSTdrrNal4K8DGhGRDn335zCE23MMpgXPTm2CJ
YMfrkpjCZxZOqPDk7s0lNFpeBSkRJxn4UjyWNt3y0aEN5KCOhfZzHlTZwn8P8eKQbJdahF9gT5O1
MeJoyFmfPOFE6cXUR2jXYkt21zLvq2Yzc/J7ZM4/WF7TlPqHMtGaL2nump9xzw+kBYbZiNosXpNl
k0qBztnFeMGCibAdGUwKIZS+o8n8T+AnxXWs9tWfrcgh0FRsT3e57VZI6mx+dq6P0grjCJaGoJOj
fYjpnLY7To/ZA/73+qc6xNaVEWM1wH1R9l96c4nywxwySd0w9c6CRk6x6tEkWhpYMmH+Q3dJ4bof
wUR9Mucs/TEPpCl7MxAV95DTpL6Ayh/e2UrIstxFCZaBVkzDd1mAquEFLpTvWtLHO0SSSuyloQVZ
x4kGI0A6MTu7AdwbY0PcHy0RSlOk0wLT1XirV0Y2B3Y3t66Hnr0bPCXFfeX1aZ4NnpAKyZ21O0bX
BArmga1Fy14NlYc07R4q+MgLNg+TGrdcpoZ3AaHKJZwFnnuLZ4qc57jqFQ/0UkjQsx66HytApl80
FZxe4KL83yqJaz8ZeTzfztZIIA4dkWRFhCvxreVky9cwdEMNNeEQX9n95Bgf4yVhgU/H4bEbJ30I
YocpSNBqLpoWEoXClIcNcaNXAbFyPiQlPJm/67n/itD+Q9uL0oOAhBflQ/DUPf0DsvvwVPz8v//x
nsruZ3mkQ/v3z37prC1i4ZlKUB4yPX5OPvhHNaCafwjkX0hdKFSZblJq/Ksa+Mc3DE+dLh8e9H9l
AzawE7CIdHw4Vz3DTn5DNfCamIYiDCs0fTHWXbCO2nG1AcnKZY64pPjQh1ANosK04AEVWuO7uR1e
h7Q08Wl1S9p5JRP3S5HE1teoBam55+g9Mlpuy6sFfwUTeL3fdiGFwCYTTU9aqdXKxbdCo7p9cZNv
/q6FXgbMnxaGnMjpyPDjoMdj/nw6HBkTYn66uIAXFQHvacM5Jaw7DgOF+mRbw/u+yLHNnKlGT1wn
z8OLtYEM7xoh3WsfJvk60lDRce1Ddag8YzGWfZ9P5a4YVX0Dv+qnAVzodsoHHDGM+g5Tg5NuEhFZ
P9N0eP8OnFap3AEazZi8Vyc7dcDJSd5oLPa8ceaghvONBPkuDrBhCMRRIyn0bpxu8ibstqU9yzNX
Pj0FcGX87AzjV8TNOro+fl5SdRJ6YXDl2hlqf8jbxouqpryo9bnZqWOTfXn/m77+rclhYUau4ytg
sneKX1CqKa2nmXIyQRl8KAgAYOdezLvZKeVnxOgq4vDMOPOAvb69CCBpemvg8ddp4kkJXvdkFdlp
We5JErZqXxox8WRxXu3phqYHc5rHm1IUANRca/f+1+Vn5Aa+LP/pTpur5WF9wRnHnbaC1EpaoKqs
eu9UTvZpgFtDnJ1Zg6ETPNWVpwOQ1TfoEijVijC6TdzoWqKp/7Gscmuz1hp3p2byCwLYeNoUmU2b
lPLE1YnEUtAiylW43ZfF9Fdq1s637lnX7aYx6vaqm1Dmh6voe7KsaxlW1a0iVzV4JjV16yLz3yH8
25D4kHthoxHKla/i8TgX+rBXsE64/piO+V9uppoBAZdle1HPrnoDSg5a2DoG75DQd6IPllgrCRaj
tCWUl7mJBkXbVXapmrvY1zAclps4L8MmAFM9f6paQlTXTAuvNcs02TmFTZagCeWs8jtroEqrGSAw
JUvKHcF2ZIAB6MBGOiX6dUF4MXptS9S1r7fdtEui1WTHgcb94gzN/E3apTzEcDVcEpftNeTLZrK/
zRKj/KoV6fjUMyIsPjCHyVKSvubxzwz+zB3bR20C/TGqxA9bkpQpCvPsIk8kbLJZzaiMjfZWKI4v
2ryhDtULWD9KSxTWWKlZuZFtEmNytXXAH2iozD/TOLd3E+nTciNILgZWGKvaV+Ac0Xdjwda5bzQ9
jg55qpkPaA7i0BuyCm9FJ5LyosyUcaI5rROtrdSEuQ1phf2UIDLo4tR0ExE/ed75UQi9vAyFuc1E
SDgA+Cat3AAunFu/jgstDMB9UE9l0NFutHRO02CeU6Y+DLqb3Le11Lq2rIjXMM37pSNLvNQfLFzw
oWfwyvxZqYScIiNuXAhwsHLNYKX2Gh7J39h7q0orbV/vGfwGWM27ZkPNo4vATl2j2tX2gCIlN42L
whw0ugvRDFGOWDEOIg3ww7/jbP9bvPwHDfu6MP/vesdnh9glGvqCCubpuIL5+29/aR6NPzQVJTol
CH13c217/qpenD+oTWi3moh3WCS53j/VC2A1whaAWMCToJHCoP3f4kX/Y+37MXpnEIzzjOiI39E8
rpvNv2slU/w1IhhtGCR3yigiNo83o1FB28SBNNpjgR02y+yIu9xtwocXt+aNcuO4ablehTEe+z5z
h2fhx/opXvSyVXUsYt0crF0bTc2+QLjiU97ITVGnzub9Sx1vPP9cikKM/jJNX+uUCJtjFh/j2TV3
rdPV+NwoBD3HzTksta30l6S3t+uHKXzWf3Fmp319M9E9M9Cj0cx/QKocf01DqxbDtRKL4ZEIfyST
QdtU6+SP97/hG1dZXQA02Wgjgug96ctCnrOHsOzNHXooi/6HUwyfurQ2zgF43vjRmCS7FtLIFd99
qm7I3SKNJcqrHaJ6dVMpcAaaeUbWx8T2zI92fKmV2EKOAe3JFYUPddo6aRnGDp5/dxT2DuOW/ej0
bhgQg4E7zZDhmfLgrUut2nhKP1SxVAjHvxFxPKgr3MrZRc0YftPCYgYOwBHzggo9TM5UvK8vhk2D
rwZTnnoEWf7xxZx6KQaMgkD7q2TZDZbifC80pfLjrtKLM9c6fiz+od4gn2b6gLgW7/HxtRoL+1+b
WO6Og1QNNQFJ4H0l3fTM/Xv7MgbCN95pfrOTy9TQA6KcWpOQ0LGg2ZTSw4jCc2/xmzeO2pwFDuEg
SXTHXyZR3LKkjeEy7e/U0qdVNwfp0PVBnUniL3/nhXq+c6zONMl5ztcZ2Mkj4aZdghzE4SvFdJeE
BMZUaVkWvH+V44Xpn6swNdRYzVFhnypOYj3jHFlF4Q6vNpLKuq4nBA3t8BQOIrseoS5+LEAD0+RK
y+HM4OH1j4aLS4fUaCC/ZwrGHvRy/R3skeDyqHV3ddu59ENJgYoETpr3v6E4LbxNPBiYllE1r5NL
7fQy0nb6hlow3JUZ3pvAtmmM+r2oBLW/HibpFpQW/f/a0CPVC0MKYS9ZhroIoMNnP5Qi7FKf1KCu
xJmp0U57/+O9fqZo+zOCZJ1Zewmn0YbmXCm6SCdq+0kJgzrBqxXCFfT7tG6271/qlUxuvROM8jW2
VwNd4OkRpKTGxgtju2iYWrXbZGCifQgdve2Foiq3esJhomm69qbHUO1XMIg/TnpFr/b9z/HGV2Z0
x8dAPIpX7HRDChszamy1CncmMwyfZGDO2nWh40maf3cuyTdmRcXZ4XCPOU7Tbnn5iLUspygDVWXH
JgiWTmpfYUwCPB1T98yL9EzW/7dmWd8kVEicadmUqGyZwx9fStHi1lSqRtkhqspkEEtVzDeOWmkR
aI/lWxiXxsEco3i4jBnacG4olzLbLZoRKgybJ6aKabTaoKnPJX+RqkhQ3J4UDEoG0xuonn8C2cor
ohQtjjyQB7v6SQzkSQeQr+ngGwQJtV5S6Bzf6M6W6u/+bEzj2S/wNSIvhj158gXFGCllHUXFXnfG
x7pM24AuzdeysM45qF6tC6sLQ+Uiq550baId38mwGpSmy+pyP7lZHNjguBiRk0j7/lP4el1YL0NJ
xMKDYBPV9PFlmlksJVb2cq+PGiPPYlz6by42RD+VfRQMOHz3xhTVT2ZU9JsGUN6lyCPL7+AeTR66
BPm08DXODYNR53LdoweJz0XoC13FZwfG6cIf5dMwVnXa7Lm9OWFga5a8Z0ZT9I3QsMW+sqppZPIH
tNLeJEgwyb3vo/lBaFjzSepdMEjLQW8DqYCKlMXgRkFBPnK6WacKpt+3eclssE+LyCvHevrZcKgn
i9voM93HvbqOkSKR3FekOBXb3MiJFGOuspmKsv2mcNIfd3PmzJg6E9krO8fMUhA0RUt4sJYZ7L56
Zyw3amjkFO5GvTesSt8lC9AkTyscMu+j0rTDKyFCZlxFaODHjtPlkpAxzN4L6YBlgNyf46noaiE9
yxqdW6U32ZfaZ1tpA9h/8uxlGD4Q4UUCXT0Xve6VpdHvcd4PsExEpjKRGBrp8N9mo6BOsfXHIsrD
0MPayFDUblQ93kCQEWRIk5x9GAx7+FrbGZxxphwSnjlh48w9lUZFabAYDD/p2HzPs57jOVPBJcas
mjOI5GMnW9TpnfJRV/mHG6Zbhl9WXX+9QHlSmBIKaXodLvuWCD3QRkHejs3T3KWLs2ubZmZ9kEB+
QGn2ybcemnkNpo0HAK5SC6HKrFM8/g1iblLUEtEIT4960W8NpVWrbYO0+vPYpzSQ5tiaGS5gPp43
tjVqZlDok43Fox6gxWfYcxePykY2nixpwAK5L8xPRbwQCYY5/j4f0u5KFRmrBw6MhRgr1CSk/vEX
iDbrYf4rKiPRMAxr6hs7EjPWRnfpNQ8JsGx9J1Qs16+mPmeSXmvu1dC3y5+6IGp210Sp8xXmzDTv
YZkuNysA29nppWl9WPjXJyTC5c3XpqtNEhonSwI76y2tCsbCIC9v0gtV3aZiIYNcK62o2PTJUn2C
brSwDOaTzV5JZrtf9qX4gcmiv89iaQpPNZziYWq0fPkAQ075KGmSW4B44UdvraLBkgt1n0RYh2Sr
Fa0kS6xIi3ACp2uYgcHXnGL8ulJUfoEXBHa/laeXsaZixGGnMZIPINCMi1TtS8O3snhK8DkneDut
dhxBcaRi+hyFg/EzTZr8s6tROnLns/GiNLUu9ExNppkf5SZ5hRl7rDub3Vc9RZnGa2nkf5Hq1a3Y
hAYqx5SCSgvd+UM40ZnMzKL4XlY5U+VEKQomdCnTsbAQIvNbm+6er6lteu+09FN9CWbia93Ha+YC
BIRHtxzBxBYiFQRlTCt+ZcROzCRStG7vd4uFL6mfqh2xlsa4i9tq4E1nmf5KFoXG/0QuFwcLOc9R
ICMxXU+qk/k50wY/neNx8HrcDHulAmvB+N+OCm5vQ7R3aTRMEfvIZIS9qHTLNklYTSQ7TKl6Kw2r
/tFGs4knOmNAR3ierdsbZXba2wZb8mPXlibzUDSZ99oiM7DAtpJDHWoi/TqNkDlsXNmmZaCKTmc4
ns3yXu2QI/kFU73HSjciRn4lc1eqTDsAJYFmgant99gNJYP2ASLnxjG1+ENDeiCrUNzEdwzR4fsl
NUZe1kScCyKxeZHbkdnkdrSN4V7vI1p8w8xu7g1aGRseeT68alOqL/MdOpNig6wjpJnqlOa9pEeI
GqNpdShq42zeJa0yloE9jq2zbeZuIhI8G3bk3utflCWBZRdlfZ0ADFarz/lMt23jKKEANV85jc/B
gXkE8+0QU2CvksrRtHPxRMwIn5H+giv9OXQSdTODLeOWK9P8xHskoBtbrFabCaYZDisd8hftVC2O
PWBfDdEd8UzBwhQaTIdB3ZL5ggbdBeIZ8jeaMY9LglXo4Po5SbJ33Qw6LBhHqV/LGPwTWgJTOiRQ
2qsUhSW58BJdMVGW22a7w+83hpuMxZQhlJGIwp+Ubv7LMCrzEwQ05UsxzsVNabjEJ5bDACOwca2l
8spqwN01DJn8ybCg/6lqo+XyKrX651omY36hqqWq7eJhqK/0FqWAZ3RRTbneGCRUWqGVdF5el8U9
DNT6E/zT9iukwRKkrciH2zAkG3FLaJJ9n8tRPDrCTWxvwClXec0knQI43qzc22G/3A3lZCOVaDJ8
DWJSUYVoZGkoLLe2ftWT6fQ119L+J+QV1DLVsJRdYKEuKZH5yBkqDgEdk2fki7zI+nLsP8Y8aE/E
llxTIGR3qdo5Y0BApyb2S5WPRUAwxyR5d6Je+vpgaT+QMYWcEppl/GqtDTEET+xSymzVvM2LllSc
VBaTmXYrpLZr3DFrP4R5yLUjS6m03ZzExi0LRVgERkyKACkdTpfspsRO9sZQJNYGp5s7+wQrJD0o
vB68QKdTPF+USRsm/tLJptvUUjcUnupmHHZhLJmth/NkOyTZkC6w4dyh3EuZ9cuWWM6FF4neHakp
EYI2BOajJAa0aHbQfbr6ERuMqeEydo12N+al0wZ21FmXY5LBKTRMYlfgwkxG4w8TAcce+0ZXbxlL
kkgw6mD7gliv3cfGXCxK7ha2L0EklZMGxjxEox/WwHZ9zaxU61INY7XbmZRAq5CvLlLU7VL9LCib
Rw9ovPqTtJWk8Hmk7egKiT8d+KlO5QzMSEu/l24Yf5uyEC79qOWDtrW7Zrxq80mz0TronRXEZajQ
cQ9t52Gp2u5nPGRNt4uwJphA1gxCVM1paW5G8IdovSR6mHt0PdplH0rtBqY68q5BNN1er7Wu3BRO
J7OLAYrQ9wUDzuSr6jK1gZNa4cHiz5wrcA7LQBypGoprs0OrsVGnIbe8NF0yyDyIxC9VvI/1zSIE
O43RCGASal3BV5YhqwTIQtK6lL4HKS3M9kOvJzX1ER/6EMXJwim4wG7g1WEXXjvEKfdBM/bDo2oh
l71wIUUteP+a4TNPR/QTxyRzH2im8+OU9dlT2kFH5BFZCkkhV7a3HQnsib/q6Zut7MeC32+m1tkw
E6eGWCl71oewMoyHMsb7TKGSOt+7cuoSYmhrsl1QhNkjQgx6jLDaB1gREecizMlygAGV6U75RamW
ihWsitPvM2wjJ6BFKNqDtYTFYVRE7sAPCoWxiXQLaUZjuqXm20NqWlt9iazeb8SoqZ6dVm3kIxaL
Up++LTvHIoFLITVt4LR3zmz3fj/XdRlgLzXHb5GeKyliOW7pBnDXXG7UQU8SJClu5Ph2XGafZJVb
AFpQm5+DdYv1AHt8WKDrTuGCllKnx3Eq/eaUj3ovUat9GZITqYsJOZNtzZ1PKm2+mcus+DSi7Lq1
M+Z5a9TTJqzz/CpNXefvPst/py7/WdWaJAS+OF6+EozcrxGF/+ftwcv/+/Nfoxf7D8bdK5Sb5t4z
HeLX6AWCEQdRnXYFOgg4fBx8fwlHxB+rIgS9Cb2btU3ncPr+xZsw/uBYjnpLqBr0CrpJv8Wb4Kx5
8kzxoQjvfZ5T0C1Casr//2IuopGPYUkXDWQT2WymMu7Vot2A+nKGnDVAhx3HVtbm64mPPo4M6iKp
vsS9EjO/5tAZkgiH79SzQQlYFxaG7dRnvp4SFaskSuKPAIH/EkM/VAc3FuE2HYxS7OCDteNBnW3z
AcJuZgaRSWUaWGMDuibJ6Sddh325gjEh1uKpHw1DBvNU2l/MvMFz2jeDztxhNDQGsZOS7Dl4TZi5
HXPuvb6LYrmZ3NrtN1VqKAb1X12F27bLwajV1PE5mocOoawa92svJUzy9iJpuN6hUWJxtSzAun1h
pzLxB00iSslcoPJUCI7iBOk8YfM3CpOTdafV1AyWbXB6yCub411sK9FtmFMpXFXmpInHNnWt1FcX
5kVbsy6HzhuZj3+UYT7rrNOqngWdyo7mdXYvyVCDt3cvJDqVTYJbgSTzQmJZ0chO8enwl4qXR//D
3nktx22l7fpW9g1gF3I4baAJNklREql8gpKlEXLOuPr/WfQ/e9hoTKPo4+0Du8oua/XCSl94gzV8
6aKg+L4ARyJXjWzjT6iMaFTIsg1+xGodMkRA5sEA2i7QbBfjpBLbiW7RFNeeMKk4JCTqg6eRpy1e
MuqQfMrWrn9NRGYfbDOLv8ZRpbeHRYcVdYjFEoEqrm1CjtAMvwR1m2UEizl1Ui0Zwp8L4IXiUFBS
ng9p2aPZpwt2o6eTrckulhlAkUo093F7RRF4QWQUh3BAP+Tdh1yX8shVFiFJFBtFLx36qY2+6k6Z
DC6aa/DCxkpfHpZyMUYXsDgyTxZerpNfoP2H9hIo4h6NR2nAjwgbet1tFcNTS/LjUh9x6aHnTdSd
9GAFD10oWx/qHASvyG0xzByg3d1mVhO94xz3vxsnchBs1GX5Ds0kgxdGZhOQrFqPHXDmB6oSoAA1
szYg+DptReWkjQBSzClizcc5L6Pem+alkp+o8kmpR4aWP/Z9opSepkpZc1yqVsX5NksD2zWBQGGo
18fR19kwy69JM0xfRc7xzVwaiEN4f44+/f5kPBpW39zPSAwawIG1CkHcSEdeUqJuhSIz1QI80Oba
xVXBeW+NfRP77O2yP8yJWj+M0xjzc/M8sz9krR5Hnm00GpDSqV+EeCFsPN8cl6I/AjqsxoMMlLty
pzhSn7vC1kfyYAtdRwd6Z+QRHxsmWWtkBMdIVmglYQGqzF69FI1zI2k89CPR+Dg9NGHUT0fBobg3
MWAt/36D/quW7uXNhRgBvBpqsRR7Kcmd31xTPTmlFGTxiZp/d5+2am3eRE7f/LDJ4HcrdRfXpCm6
CZTu0Q6C9yLqeK+uSb2aaxuMR3LqCkdyQ4zoPBukyDFv0j0DWVFaff3K022igE0x0QLKB+dl1bGr
gqDrlG5MTmiC1l6qO/0nRalbbzBj7Uvg2MHbvyOFczoB4OWRLH9pJLyaWmdCEVrAgpzMph+P2TKO
wIfMQn7o8kL6/uqh/PD3LF6D/jbWjOI5VGSgBTTVtFVZOZoi0wmgFJ6auQlbotcyBy2vyp+iITKe
3zoWCD9CJfYmFEMe0vMlM+w+N/NKp+0eOdpdq2rLIwmzRLqx6457UV4WLA+K5XinoqQDUUl03l59
w1Sdx5SNkZ0aVM8rN0GR8nEq61L/oGYtFIS4DoLQXdTA+pDkCKB5eus0jqcOQZo8DBCQnvquUSzM
UdvYfmMpn9/GT6ItC/OBJ35Ny140ijQh1eST1lYR+tlR/wVzRoTwEyPa66Kvy9mMZWAJQgcG4wS+
/OqYUDYtuyEKi1O1DOHN1JqGZ02xeXN9ZYW64+qIoFhF14XTqOjAGFdLG/ATTDVX8xP2j5LlyWY/
P6dw+BIXI48hcTursz/l+qCnrma1ck362FOATiy1+EuQUFLfioe4gpwhd7HHS5zoCMlDd/QKiqKo
z8+2+VkZoy5E1hQ2Jv4FRfjQ0dSOPUWS9OKmq6r2c1uXDuwAm3KXF8hL94GENdSQu9eV+zxEas8j
ee01H0LwXHtqF/YA/5emCg9GPc3l7YyLE/g5qg3NEVlcDsRsRlrjJQU1XyrgVJcPgAPM70plG8OD
s7ROcNT5/W8+leJzwsdl3YT082rVgA/gjDNM+SnueQOKMAjcyp4/GxAATtdX7vL8C2Yg7Wdxt9E3
W50TLbblnu9JiqaUyIVYy3c0RJhZM399+0AAOeAOglHRmdr5gYx1u1Rk6kInyYopDQSyTUw76W5k
WHudVvHOnN/XtsxeZ15Aori4yR1en310KeUqLDLiWyrt7wy5c9w0a784VUenIW20I+4Pf67P7nL/
C6Y2jwNgLkQ/1k+E3I1qGehafqKDDaOKHsEJioD25sUi1QBCC9JCkPXXnkKpLNGyTawCRZksjlHL
7bK7iAM3exqtwZ1XyLn4isDA6M4BoYcSbghX+tdfMTSaPgsLXGCrMZVtDx3p3oZ31re3GB861N6y
WT5ojaFkfoGyZ+7qS78HN9r4rEjo0CA0AWEIMMb5b9AbpphOfXmyyOGTQ96UcQalzlan48v6/f/0
+d+MC/Gw/3fg4lP8s/8/CIL9LH63G7wL8T//b/osOwgAv2g2AJcyUFr/D3JRw0iWf0MLnvax/krf
3vi/NKxpz+PnCfwBQfj/JM8yYo0qAkmorwrnCdLdN9nFnu8XgH6Ch89QiBsC6kAo5Hy/QKRVClMu
sEbOa9kroBa4FdHTzatvsxsz/T2KTrcKgjyPHdog56PAta+63FkMv+rn6NDEtuWOavObG0fy3j6S
hbATcTWn/cLvbsxrBQlxS0U5Sf1tJnbwtbTa0k2WcE9eRVy//7kz/54TPABAcPxNhpFxPqdaihoV
y2nNj0pdPmRTGXuTYWF0kifzc06Cca/Jc/0wVeWe4dL5C/TvkR1CB5rxhPKrh6Hq24TqMl1qtTWz
m9kO7dthzguvT2jAXf+cYvkvJkk3ACgoUzQFmPf1lTbZ6qL1MkNFI/Cq2Rnx+MZJ83Mk1dmduQzp
r+vjbWxHcXUqfFK2PZDe8/G6ZSz0xKg13xbCsiZ6EEdtMvbSrhcN0tW04OJDr8ZWgvP3og/9KtYF
PzsEKnVrvwukJnEpCuR/jU5njAekM+FJTnLaPIT44X6eRzT6D+kUVF9kTHSmgxwbVnqQw9p4XIy5
/mqEeqCjtKxMTxxbxAotnI/sgzF17UM9RvVf6NDYv8oRDKg76zKNWvQnjP69kQEPcK9/vY2NwbSA
Y3DUkAg1V+ghQ6N7O+Mm60v51PkVJZxjBD/13kCYfici31oogMHiQOPlaq5lYGYnAW+9jKofSH2G
qe/c3ZpSKr/p+X7Z6QR0kNV07g2oPqvtB7u1hRlT637cKkD6wtw5FAYeMES+ye3bv90LiAUlSGpz
6xSjxfw0j5VK9x1ao16mpVi60wv0R2d8vD7S1qcjqqPTpZNHouRxvsejoWmmQM11P6NfeVfrsU6w
peQ71KGtvYDqBLpIKukM2er5KEmaR/D2JM3XIWrCorDYkzJlQCfKpB2hqVXq+PcygVpz2Hnk3lgP
nY81tzRKnTZBfrU0u5uRbuexW2aFbrKCJZaCaBc+seWD2S7Jp6Rs5vcVrrOeJXEz0qpfDm2Z7Xkz
bVxcUOPIFvnGmMCs0ytbcuYwABrml0Ubv9eNyfyeSfV0y0sUusUidX9zOP5rJWd7PLRsOBPcyOvP
jSq4QpspNnyFOquL2cRjb0keclull8Tx77fvICHAZBOxEzesv7fTO700SKHhR3Zf4j4caU9d4gQ7
U9raQQLmSq8PTz+y4vNVjdOxWIDNcPiMJn8cFqP1KsTQbqUhVHaG2jgSDpBeqjfg26irrOKD0CmG
ah4Yyso608fZl71TaHuctvMs52WbipoNZBHZBLBmrCakVwkV1onbpEitBufhcTrqUZx/WrS8PGEH
UN1TUt5TBdo6HMLuUaAtEeyEq3j+GY2EHKhsUqaFDoTboCPcuNh1yl6LtIGr0pF9RAsSRMtomTDn
Yy20nqs6tTOITUgzUBVVg5+ylSzfr2+ijeXFPJM2jCjSybRvzn8XlX0bRJVO5Kd2I122qHrGZkb3
I4vOw/WhCEkvwgjkYhBsIdwVidjqypvKZiGX5BvEXBA0qOUk/QUnF+sFG8dqXBeUxvgygof/pRZh
yktbBe9A5MDpbxK1h/6FfRsuCiWaV2U6TodgnK1viYKc9M6zJia9Cgzg1rDZhaohKbfYQq8Cg6ik
+FPOiumbc0VTOsmCPvPSbIneAUXBKRvUVf+UZlNFTajQbq5/pq0VYTOg8CV8fyEVnw9eBx2ek1Zl
+UOHbEHbVOOtLJkmBellz2Zq68C9Hkos2Kt5tsNAzTTHv7EvGpPOzqQCosTq8vqEtkYRKooIuoK9
4x/no8TjMmiFEpm+FSTzra5kzklNVGcn6tkchRCEvwyxuVaXB25cBTY9rJkDH/iEHM83kLK2/w+m
8mqQVWg1aovVzNVk+kak6TeyMT3Lix3unJOtCwr6O4+I0PQ118mYNodOqwsH83TsHrj+A9GTeZi7
DuWfMf4J4rXf2XJb385RuJ14uw06vKstpyZ2jCgH6R+8u/grTZ/0AbgdWKTrX29rZ4PFJl9BZggU
/SoYKaQoxicpY5jYmu7MCnJrvQTSTQTcfGdGl0OhWgctiQQCPBAx4/meCwstt2aZPVfExCL8IB1Y
Ka7INER/v3VSjES4o4Gep3i23ncgiyeE5yXDx1uzPpqFJHkzXU+vw8vFuz6UOI7n1xJDUcwRfXTi
+3VNGtdMHMxoRvjzaLafJ86aGy1K4JF2qDeBCejk+nibH5GRuAjBdlMeOP+IWdnYCy+x6Yep3D3x
dpgeTf7xcaj1PaOVyx1ICsHXg6dJaR9N5POhLBLXPEPTy5ch4t3KdSUh+FDKOx9wcxRAEfSIqKlQ
rF6NQjezaRcmlCAwdws+YHhXjyDxrn82sY3Xy6TCZ4e/KMzb9dU2TxJZa7EJNX1l0aC5R5ZMxzkc
aPLG4002DqhJT+D122ZUARZ3w85FuLVLVKhJ1JNkMBHrF93CEE8rrJE7KhsVt2h0SEptX78L4qD2
7TkN9uL+y/sKtVxk54QtAg0jZfVVywbeO8mU4SPUBYC47ZKfTiCp2Bba6UnSJekRbUyeFwPnxAAL
gyM6VPWD6jQAMpw4TH83Q+YoHg6q9seJt/ZxXJoJENjUPl1fmJVmhgj9xC910IAEc0IzbVVXUMqm
s51uRCRMt9ufltMnT3q49CgcJamCzQCq0DHyZSD0XDXqE1zksGeGZtREBtrqvWP+tuaWlPD6z9rY
lYhtasQ1JGo8YKvvR4kd2A0ZkI8Roe05ZgV+etptxm4cZrhLlPlQLyCqMVaHWU/SrrMzBNJaPgM7
EGtYtdAVF9PGPRuQraEESRPsD5BZYMbnx4wuYCNnvDI+jgpWdSBgK04OqPvnaK4y//rH2xxLhJMY
voqAfhW/xmlOQtrkph8FGhZYUpo9xCNvJwoVe6rQm0NBNaDgKqhZl89X1VhGXZl+3aBcVBoqCXVN
nGZRZ9nZEpcBKD1s7ifancQzFzFggwABbd6GkKmz5ndqOKqeGoQYUYy2/lnXi+q2zuFF0P/du7y2
NiMedaLxSV+S3XK+drMcBCr26Ka/6LFxbMo69xPzjYrhfx9EpDB5OAF+GVDwz0fJKiuPZ7A8vjIs
47EGSw4cG+z99b2xNRc4qGxF6mHsePV8FFKYPqozw/CzJonfN7qev5OUQXt++yi0aXm/YJCzL1bX
/WhHus6dj2OdFKb3hoyQnJnKzc4tezEXGsEve4F6P7ra60obdMTermxWAwtuyK2dkv0ipXtzqC5G
gTqu0muk4PaSwb1KCCAgjY4dCXNTWwX66eSFW4Hv3gnOLu9hMAbQZ4UGFZUFQqfzhQGLGphG1eR+
bIal4zpKOMcHBb4JbijI5j0FdmVqB5J0a4DAFS5f5KwhWJSyFnU46pvFvVX0TbOzXS7ON79KyEBQ
YyTrQxLi/FcB/dH1mZvL7425uR2b9hfiNMndMsp7gfDFE812IboX/FkyFUyczkeiaZCEY2LkvlHU
CNviVYIsXJLOD5iRLj+GLN1L9C6nJq58VhW9JEoe6ydG6vCjCvSl9GsUox8nbZaOwA+z28Jpu53w
Y2soup/UVdg/QHFWF/KoAosB+Vf6vRljQTPbmFgspZFQxk+KnUOxOZaOgpaGIACx1mrF6rAZQhsU
p78ggwnkoEeX1chhwfGketdP+d5Qq7skl6RlNpqUL7ggGVOolB+sUa3YpMDirw91uTuocwNfEgeD
feisns9p4uIszaaEMYXzZG9kd6kCnYnADtX+1Jp3hru8WcRwNl1/KjK8aqsF09ucsLiuSj+B23eP
vnx94K1ud8rdKxY3Vz5Ys9fDrK7JfrHpdGA/5k8OVKx2TIKfNkpa3qKH9SGjTOpqEjqLMD6S+Q5Y
fvdjBOW3M9etVaT6RFBCvAWFdrWKc6r0ElVgNgziJe+zOYZbIsnDbaMrew4cW0PpKjkl9lUA3ddV
jzkqZVsNUvF8Jh8wIG58pbG0wzDZzs51urVfCBHQkOATE4WLBX51adcy8QF5SOYvNeDbyg5gti3t
nSRDVZKD6vf13bk1L0Q9aDnSUGDE1WgOOErDrPLclwZD9eR4Vm7los9vOwwejteHuoiCmM/rocRP
eTWxtMOOxywj8UyALPWqOsJMWe37+EPnGOMRCa3x1qlanDkbqKd/XR9866saEBEQt4aoQmf+fHBL
aRyIv2Hud4j6fyIMa/50ed7dqFI73SvJsAcF25wsMQrgTEI+kD7n4y1SEqo9vEi/yuTSk5w6P6H+
0HxoHTmEQCYt77V+GO6quDN28lXx2pzlq+IzC6oQbwR36YvXw6vPDAY8mXqJnQpx33qQZrWKvbEo
7JNKp/dLUea2ephGLdo5i1v3DppMFtBXC985e7WRFjR5I2PQMn+OWvDjVhAS7SbzzuHYmhxOyeSn
FNOY3+qpxc2OtDe3GIVP4GmtYX6auRyeFCjJxGkt+LbKRmDs+ubZmhstZXrzhBM0G1Zz04zZ6MvB
zHxFcpabhvLxsZHb4dP1UVY0mr/vVOpAtGeEFApQh/M9g3BzoqlI6lFaGNqf6ogA+XFMu3gG92dk
gWuPRffXNOTjF7lP7q1kHB+7TLcl3F3NeE+TZevACH0F4AHAUS6QEBwYAOYI1/mjqWafjVbKblPH
aG6CoGy/qui6+Tuz1y73Lf7X5Hyi9EBDZ/X6Kzk+SnC0M7/EI2ryncycHHeYstjytSrTsUJOHESj
I3gW0ASiJoQHnBh24eVmM6suNc9ePlWlJt93VVLtveIbWwCLFFsBUkfIzsN6vjZEXGQlc8+vs2fz
Tk7a6lEv4DJe/whbo9Dop/lOxM5eE9/o1dkNUynV42TJfZpHP/Vlzm8Aj77NW/VlmyFxqmEAiMCr
flEH1FJQ60apcuVX0LZws7bVO/KHoNy578WVurqIGIdRBByQ/unqyoXHEagRtC8fRUPYxuqs3qex
6hxarC5O17/bVjhC9gFLiIif7pe5uhdkSZOsqB1zX5tT+T10AAMCSNOVNwAS2089ftZfYT0sBwWm
HfeShHQBas5vs4X43y+LWhz3Peq5F1ndNBeVrScc4Lasg6OEVMG7MpKGj9cnu7VJ6KYS+BONUA1f
RT3c+dkMSIkLnv6q20VJdVNo1l51enMUg84tISSgw3UhHFRAi2w1D1iMXsSjgab0DFYDnvjO3bqR
PRJTocSDKh14WNzqz/d8XdeSAhmn8HFCRQDJHmw3CboSpIZcR08hetMoH9T2hwlpgmMbde1jOFVk
WI6KFRZgZOvNfWtap8JnCEdJfB6xaj3/QXpb22NaEdq2kiq7Ux+PxzRO9Z2XbOv78seLaJLWBpWG
81EmI0bbi1zUl4eu8SRQ44exUPY4G1tvCkhApBCFag6Q9NXBWLS0HPuwK/zG6h9mK59dSXfAT4zP
ath9krr2vh/0u1Izbpd5Tt0G//OdBd6cKC+2UFEkFFrfaUk7YbmYLIWvaXl3HBaSoC6Sqtvrh2Lr
smEfCR4BWCik+c4/Z77YvYyUYeFnTPim6qv2sarp4KBhtAcq2poQB48iEYkHOf/q/BnqlFA3ago/
GSvz0DcmVXKoBTvx1EYACXITGBuVVfH+roKBRu3nBMF1PpuNWA5eCfClakWfVK+o1Cn0BAbAhife
4vAgzUbxr+vfc3OSsFQM7m/GX4PpuEVTs4gL0khC1EM1xM0DMvbzznu3uWqvRlm9dzApqlZB48Cv
9XK4WRQAzZkxxa7ZT3sPuNjo69eIewynMIRh6YquhtLygphVz9AU4cZ4hMjdTYcS7V1UZQIUQOjT
PXNO9orMm+cP5COdFHC/GoDc830JlzJd4lRiGdumLQ9IJfU/2ah1CUiK6BiIiPa9sAenQKkhW76Y
S+78mKmzAVfsZaX+B08HmSWFTYgwpHur26BL2lRiKVlV9HXdmO4ZWimG1e2Z+G3tHtqnGntH4KbW
4llOlC7dZI2l39Tx7GVp2B4zMr2dI7K1pFwqGjkWbyG4sPNvq0VyDR6OMlg+D9/CEGEVyZGeUqn5
2qVjdZji6cv1Q7G9mq9GXG0igHKpZGlD6UtJrnzodYSWg1zDDNtpzU9SHs6QE3GazSpp/K5HFHjK
ZZhR7uz29AS3PjDFPweKIYHcBVqYO2NARY/jqZNGeyMSTQejrffwdpujUD8mFBWmUOsqdRBHtVkp
bF5q05NbZel3GMJ73mdbdwAt3P83iPgRr2JeE8yNmRRh6Rv44xxHHalohTzvtrGUeic13pwPnDtR
E6ehukYsgQaNY1PhutFMyflMCSs9aPiu7Fydl+AwAghB7fv3MGLGr2YUosxaKRmnbOjHn8pCP9JW
nx05/mHJ7bGWIGy1qK5M3SFQu8dMG71C+lOae3WAze8qAioauZzA9YtokvmbklISxswI8yQORHdl
SKu7HpTQzncVj+v6bhU1cKFQIBiNq9QN9xZDwv0h9zOt+yNrg4Qg2XBSiulLUkfJPzj1FnUcJFZB
2tIKOv+6CoZHMKSjwl+g9mPFPpVSjbKGtRTuUozlE8JC7XJEZD39JzEGgSoITZOcmBbl+chWMyDK
hdAbBaxlcS17Ut02n8NjOMrjzsO4dbWJl182AegLI+fzoaIuU9FQo6WipnH1fW4q7c+4YPbj1nDS
fR2In34Art/+gygKSJeI0+Cq8FaeDzujyoRCelL4UxB3H1tY6kfM+koXq7tmZxm3zqIAvoDpEcg8
eRWwBbWlRgBsC7/rrPCgFaGE8VVmvL2lQKSGxgXQO+o3az/1JnK6YVLbwk8HQu1hmiI3HmA1trm0
5622tWS0SSi9m4xHEHr+7ZJy7rJyqQqAGnUBeSCtbM0bw6U9hgOcAWS50kbI6UXGTi1+40vyzoq6
EXhUAYo4Hxg7higiSCx8PQ14EGZ1plKkL6frb9/G9Ih4X9J506ZEsbrUCgXTJgmwrd9PRXtqpwUJ
pRDF4c91YZRf1aJyoptGNnLv+rAbtxg9WA1WoUn+cgEyHVG306wUch2WacrRohzu242puUmI3tn1
oTa+I0OR9bFRBOJG/PdX13amzOhLIDXp48EVnWp4p7elM70ZcwjYwLEAFKF0TIa3Lu/nqlnqU8Mo
SVah25ZqhttYSHS9fS7IWMFHEGA2ehbnc9F7JAfJBhkFVMgvoPG5a6SB9ef6KFuLI7RgFLpaIAzW
937Sm73cSdRFg9xJnmnw2tohU5v+lElzuBO6buw/ohCCHXJZnfLoKvSaCVCwvY4zfzDa6iEqGnK7
kpW8qZ0hOHYKGRDqxkW/syk2pmgKaLnwZeV5W6OhRgtBBCdO6cYgFea2SZW4iHfSR9emcWfNtopY
yDCLFROC1KCVzxet1rA0GZIAqcpa+UtSULlbKvMnklbf7DG3UIA6ZI+Kq+9ckeJPXT3eAullUYsQ
7kNriIjT1zEGwRNFq2KwbhZTwjZNa6y3hwhgbeABgBGBerAGOzpRT/F3aDI/ttCGlZcS8RRnOcUj
ZSUtD/7BWQbKhXWDiPTo1q3SLklGNBfoVebLVIRv7SBI7zUzHd/KcICI8nqUVdwzhvFg6/Bc6DqG
/cFUo/KUhXXnv/mUibtPPC04UtP4ON8Wgznx05WMU9YHg2uCtneTacyPOMTtqYls7YXXQ60u+RzX
yRwTHG7bivwwbecKjZ2+9a5P6HIUYUjGqlDFFIXS9YTmAhdxoHgwiyaq0GFtfSm0yf719lEcIijB
UADPe0GoHLoonMdW9cOcxUkWrcWIJt67HzYOLR0v+KKCLQogY00xK9AmSUcpVvxQ1g+FNH8ws+Jm
7hqMLeXKR3D3HdY+t62Z+9ATd2Kol9vn/OyawIiI8FFEprRmiEvz1ZMlhVEJ5Ao+WGwbkdtH+nCK
NcQhBqucH+p8sj2WEGnb1FlQNcqiyk2LOjjAYOy+24NuHfO5bU7oFysnlF+XdzICRHdBnobG25cc
TwmZ2hxPnklwef5DVb0nPQj5oXbvdLd5nmIetUTdTozyUvo+/x4UWnhg+RwO1OQ1RMx2krCnLlz7
U23UWL+O2C/ir2tXv7pBL5/rZFC+jEpQPmAMi51AFOYFTk8m4Bm/tQsqQih8j6g3Jn3feFraB83B
QOExOYxVKAnLpCnr7rClmVq3xbvXxvaoTGWUPtW0udXHOQqPeadbqL+ievS+H+QodBPkHwVfTK5/
xsim/lnQIDMPeRF0d6E08afmOuoqB0K2ZsZsrUAFNafRkbqwmFLbRbiT5BFr2vTYllr6a7TgoSGb
GHTvI3Kh5nj91LykT6tPKBh/7CiiE/BMq7i8J5zrqVlRulm05Y82d4Y/pS1C0KGi5F+xklV/RVGY
5kdA8ggdTF0Xhp6uFvO/2n5QHupljN/LiOj/BN3l3Kq0KA7juCyfUIs0FY8wIhw8SxmzBFsmHtKD
nAldnxpPv18xtMqPWo3SIQ1rnlpEXksLuUZSle9qoCyfrk/18mkHz8SDJCIKwc9ZXXa6VGpxGDgU
H2dk1dtojA8IvkY3MhqyOwf18sZjKPYkUYSASa7vIqPDi7Vgb/kWJq0e1lboPA55s/PGbo9CnR8i
Kj1ba/UcZeUoVVMjlb6ZCX8fReseowDn2OufbXMUZGxIdCBT4bd+fpSdYVAnPbZLP4O5+zAjg3AD
3CB4d32UzcWhjE8BAyyYvJa80JJKdpqFuRQpVbWyLCIXJVuUxSh8edeHuowsWRyKFjxGoKaAuZ1P
KLProu6XsvJj5EHfDZOsPLdN0h+R/pv9RsFQNY7b4uP1QS/L+wyK4BSdH95AgD7ng1Z5PavgGCp/
GCf12SRcuW3bMnzMrRD9abSpb/qS7p5jScZOjr/xaJAqvrwWYH4w/Fid8NqxWimwKU+pQYa0f9qW
aegqiYEElGx0T3Ls5IDnu7r9phuB8V1rHL3yYoxB/IUL8Hkc0CYCYl/K3zp6d+ahkqP2Qz2aNdJA
1PLNnRtJ/Jz1hYSkpIBCETpeZIBcp9g7a+w3pZlAjeYOFoIHpeg+U1vKbsYqm35cX5q9AVf3gqxE
AX7zbD3ZSj/2Q2G8x4p0eJKNdH5Egmhn922OJhCPwkdK5xpabQQ1MJqmZ3pRWnRPEHb7jzrSHZ8G
uT8G2djvrP7W6YX7+2JPJLwnV5NTFj0qiohLzx7K4GsLGsod03jYib22Ti/hHWVQfDxpM6zCbzmZ
NTuQuYQU+m/HeEqlZyxF23fzJIXf3r5asBHhxhhQZC6AVgG+QPTzbYaCWvnbaeziVopkB1l9x/Zt
pId3qi1bU6MpBiGcEiBQK+18vZw6RkQ7rPETzM3sXRVYqoviCfrnMv7d16e20W5Auk2UdcRoAhVy
PpYUB4Nk2NSrIzoBPd70sW2igz/2aIlClIAyi/o1TdvE1J4R9kVc00ZILjpq9WyfSlUZ5p27f/MX
ARIkvkIJQgginf+iCCJQ2uV00XJtaFtkMYwSiWb8cH1NApl0lK1acvVIDQp0y+Cfjlqd/wuvrwiT
ARh3X65/oK2zQyhEtQ19QJpNq7Mj5fM492le+WjS4yNshuEnI5IzT4LPf0RreXn/D8ajGQqf6KW1
tTo8ybLUwaByVhvKlaASVFo/hWKWXo7k9d0M2X3PmOlyhoQLbG3UAqFzMuzqe8/LNDuF2N1Fh1Bq
7YAF0+NfvTl/7udC3glTtkaj2EweQX0FkOQqSkdoPuq0sa39YVGFXG4zGd7gzNZvQ0rtz1MimR+u
f9DLwwQzWrQJ4UbDVl/nL1VQVnzJpKE7KulHvZXbp7YaGy+CYPf5+lBbc9NJQGCL0QK+QA6aWqtz
qxuVXwF7eg6yqUM/OJB1DGF4ck9WmqA+e33Iy7sWmgqINtBiiMQQCJ0vXt0slhzXLB4iKvHRmHR0
96ZF2xlFLMr5+8go3BBUOqimM7PzUcg/ZCtKpspXUed81081IrftMubfsWydf9p9GN2T00SuKjdq
cAg0LdlZxK1pijKIxRLCMVkjPwsjz4aBPqSP9rzlBpEA8OKZ9ObgFljXq1FWZ88ykVhJpLL2NZjT
XqHHmvBmznY+5mUsyCgQ21k27CPVdd8FW8q4qaeJE6DVySmdVeVrr8T6cTSa8uMsKc0ISieYdu4V
sUTrJUTwQ9Sq8F67AGFHI7w7PIxrPyxLYQXShuPHUprybyQ9ww8zCXAJAt6SHwyoHt71Tbp1BF+P
vfqupRZqKS7stZ93QXZXYh+Gs005fHG6XXmhzWkKC3v81ihwrqUQrD41DZxOK9+YlSg/lmmluJPS
6l6hSDRIdLu3b/pMRwRzyJfb69PcXFghzSk6TvSyV5UScwCLrIVJDYPcOOWa/K8QxyBkODrof8lN
HI4/r4+3eShejbc6lX1vOUtcM54ZVL2n24B4UzV4O+ia7SqUTcnDUAdcP8dDgbRFYbF4w9DgPdQQ
gve8szfX57K1RYBvIsrEosFwWiVIVrzAoa30CoHDPrylb8eNFirDc0PF8vn6UFuf7fVQqxe9l7Ry
zk22SJ+HieESPUS9m9f6nuvu1nYA5Upqycsqlun80lSMxgJ61Nf+bEmy1yURHnJhiC9KjMPKe9Ue
lKOMa3S2c9i2HiECFoC9QAQIWlfTk/ppSHKdSwzB+vmX1GNLJYWZTWXJxP1camZt70LbWjviEBpo
qBqj1bA63qFijviEsENAxUe3WtEYt3oZTvdqqxpP19fuhVmwusaERBmflLAViZBV+GDFgQZBZWr8
Ws6qkzNY/eept3JfwVn2ocgCB6XhWQXeAQvEc7rUej9BKncxBu7uQIdan4spHt4bY9T413/Zxq4S
ZrMqSFZLaAWsflgvxxldMhB7eT6ZP4t56sODrUv7Rhgir1l9AYqPlIIFxIxzufraltxzfyFN70tp
7zwplRkf0XKv73W5Dh5ADthf0rZObvTJtH3wdc4XA2M9a+cN21hyChkIsFKfIc9b676GmjaDbAVw
iVOYc8ARobzBhybCGCywpjdnQwSnr8ZaxadFYCZWGSt8WRwZ3NlJ8Taru9JdMMM5Xl/EzWmJ3hGF
ZAddstUNrhUo26RYgflzRgm5Mbr2pIZx8DmIqmRnVlv7RUCeROolMP+rWcUwRjGO6QW/MjFvJ6uc
vhXSYO+cl71RxH9/VbzXyqXPFrgOfh9D0lOtoHya6KK/uUcF85e9KMRIAay+9C9ejTItVqrpKaMY
1jAeahurrt7aFxrf2PkGoACaESJXMda6xnrO0lQqmw5HsE8zlkkfVdrbdHmiQ2+Od3Uz3oyKNB0U
U3IXkPk7z/vGt2R44EdUrkGsr0HGGANhXoacoC9lAwY5MOkdT8/6qn57hkRoCEVDJCzUWFc7Y+zm
yrRbwGpAuiLfsZf6mLWyfQAzrp2CJut2Nv3WvEAYU562uVC4WM73yIgOO4G/XYDYVtKfOPDJT/K8
WN71o7U3ijh6r/aIHHRW05hBgXtZUB37sRrcLm/+vH0Qen3Yb8NdEJ3m80H6bJKMMrQKX60D9aGQ
B/PIZniz4AFlCbr0XPbA6uncr26JOh+HBGvRwleMPL7HTSV6MPrJfL4+l40aKsPgLy9SO27YtbZd
sCxmvMigsxsYFH+lSTJ8U9TM+ZFizXZrJUXs4vSXVEcryhGoDgcbaxE6UMIPfDZoRqb2vYyf3E+6
AB1uiBTJmqBNbtQ+z3buso2Qg5yX7iC3ALXmNQsn0AfLGJOccr2j3RcLav9VMT2qav+tbAk/rn+X
rY2E3DhMHEZCM2e1kSy8ncHmAUuldVUhNW/qd0Wr4IN+fZiNp4BKvdB0g71kX5QNdNMaqmiAlK4U
0fxjbCTdJeRIvYja9U5qtjUj8msqL8SJJsLt57vWcYY+bWWOBjL4+Q8YRsophzB7fPuEkIMgRKNH
RKFndTak3MjyJNPYtZ0qPQRjY2A7OmiPeW/v6ZlvTohQiGoLcDgSsfMJ1ZVCUVRjKL0ucw+j+sVb
0t2wc6MoIVYHJhmBF53xVXwdBSUSu4FTQGTDTXBy8CtCeadqg/em1fyLZP5/mDuP5riRNA3/lYm+
oxfeRMzsAShHI5KSKENeEJQoAQmPhMev3wdszYzKLGs5p+3oiA42TRYSaT7zGlTMo87AbzR7O/Tj
RV2W51v4IFzf+w/oQTPWkBosMHRHlklqvf6oIDJ75gQ4OY0stH+OcvDGolmJ50zygNloJbFfC1Nc
mbgZn+lFnJxHgklAmWR3XG77D1PUE0FmhU5BXOB/IywVy+Mhq6KNwMLmzlTi+MamO3WZeT1Rpml3
7pmVeSJnX5oToJ94VppFB+dpa3faFMfQwJAw8t6VkZase1VR309ysN8VAjFi1ymdLb/sRW/f5bSf
KdPjQGVRMDgYGrvkLG4UwKit58gbHerZ11wbrccS/vjbzy1ORyDMIG1pfh9mLlKx6hqfDRCino0R
YaeXN2qi259e3+XLBz7IDn4f5ZAL0kRpbGgpkFccqCV6mXF0o3Ras/OGeao384jxR9Z3TnrmFZ5Y
qsT7Sz+f1jCTebBUvU70TVrzcPlgtRhjJ4300ynGOvn1x7NOPR4XIiVIrNuOeHNVpZbuSBdr27Xl
Opsqc+0OyZeqLn+5FPyvsrynHgg9jaWNRUTLgPubQtNnXHAzBhJx4V3FTX0bap5zJm4+9TSghhZP
dpqkxuG96RJDiG6GJWuo7Ky26m7t2cZlqkum59fn7dSyILiDaM3tjFzjQakIX1nMIxuNkeo+CDs4
SYFRqsY67dq2CzLNxRzXLarx4vVhT80ikcsCA8XQz7IPLgLMjTqOFrEoWoy272pVCowjPyfRcWoU
iFUcXws37wicnM1emisOQHYLf6GgNvRhIzC3PLP0To8C5IEwB9zPoTpH1oEFMuo237poTGD515V3
gxGlZ2p6Jw5jbFuo0C7+PoB3l+//Fia3dlZV4F0Yxct6lBVa1VqTrbpf8Ugu8d6q3U+oOeHSFkcK
ltN1ogWvv7ITaxISmY4OG90ZcrqDnazIWSOdB80+z9AO8g6mHFIk49VUd8PbZ3RvqIPVUVpeYiQx
vFEYgs7Klc6TwYX+Hw0CJkzndoM0vbzW3ya0y80qa+ljIbaZ1cDXm6dejey3p4ZAACl9gQxDOP2w
PVFpjZ4PEVdoocb11hu4PDRShDOH7KlXg0PFIkQId5gm0/6jGLmBukjCfDW4xWBJJ1ol6K2svRZS
GT69vgxOrHbu4oXpvsiS01vaH0sYtdkgzrhQJ2o6noujuIKn0NsjHC5tEAILMgatjYNTtlZgnYBD
YbENiYsDmFln23RS52+vP8wLvvjgVgSgSe4OVBPDvEP1MLU1MTgWPbFv0k53feilJuvNtcNPMh26
8AoDcNkAXkz7diVSS+68rqnrdRrH3ZWDBH27i4cxbDdRaZtXaZXZ/caQ4Lj+g7XKUengikptE5bA
/qRXDU3scgjz7TxG36ZEaDeuJvIzTa4TJwzoRSpO4JAWq4yDEyZvVHCqBjeb1xmxX4xw4SOn/2xZ
7ftYN66xtHzXt0i5pdp8BgV+av0uCnFIHMEXO+qPDJCzey3P2e+V5axI39R11JZg7Os0O7NVTj7k
C6CePtCCO9+fSWQF5kqzIXCFVvtcZ2gvNnhfOV74dXbmjSJGpHGMB8xQz2ybE+AFVKtolNDFWIoE
h7lc24VRnabQ1HDFSTegLnonwC9zfjBqvfnoSkU6H11UVd7BdOnHtYDNI9edMQrapnpiZ2dSy5NT
zsULZoXyDiL2+/OQ94oi4tTLkWkG1gE4VukDFTP4tQUgRz+zfE+UAbgvKJ3CtyLpO+RzC7NMa8cg
mNYE9qeYAxGBRnUPOtakNuCklvWfbJhlvyyVB3L1Q3LIFJr6nOE+uB1pPyPnplj9Kg9V423mWIvo
BmuIPAx1Tb4AZbk/jTDWOmVS3Hzba16B2n0/By7AzjNllFNnLixuUijSdLbHwaI1u8rgcUBxlwLu
n2JV1XWUjNqZrXFqSSybkPCZGx5Vrv1nSe2GZn5vIAvZeMlzWaE/4WFy/piFg/r2lGfp1v9rqINp
M+cmLvWW1VcqarrKRBVtXTN1Prx+up+atiWJW2jgAFIPWTtWrnQVZWNeTtd4q6GuotUMZHrzH4xC
3LeE6fxzWONWQzcrC4tnIYtMn5EzC327dI0fr49yaguRSMGK5F9YEgeHM2WTeOY6zreAgB5hZ37Q
+sYLMqn0fjKeQ3WcSArghlFLs5Yw7Eh0F/6F6mYIZ2ynvrmJXawTlNye3nOD2h/hZQBYMc4pTZ9a
fEuvgKOR9wUCfH/x5UPlKGD5ii05Vx2gdWT5VazNwQLZPnManXo6ShqAA7HPoCd3EC3FWtrXkaJz
24iu+yg0WeBnp1vRugnn8EuLE9Ia2ZJzu+toMbIE4Vd5JCOMzGmx/4Bz0o/x4DTFznGb6tZIcyco
cVhev75Mlr+yF88wCnk2VFDyEN7ewcaiJiXVqTPz3VC1pXs12Wq6ttvG2rmxGw+bSJfg3bWB/6uV
s3FOffroJTL6IgtNAIFmCC3A/WdUepD1jciyHVRGCdfVjP1WeKWfpM25K+XEdC6AFagvoImJiQ7W
CwQIfUhsN9slYee5qJKryUaOhv7j9fk82naUXl9I7DblNupIy/d/SxJQoWwNRA7SHespviwGK3xA
V7UJIgvXqCDV7Gr1+oDHU0i9iyiI9jzMP+Mwy8J6fbTGrk52VhzLD56iDt/DeuguIK14Z1DuxyEJ
oB9wW4uoHORaNFb3H66wJmxpE5nstNEcA2O0hqs+0afbflK7B1ka7hqzS+/K64fmqsBsZVc2hbiL
wFydeejjl8n5Cb9s0elZ3qW+/0H63GpCK8956CFvL9U2LTciSbQzoxzte/oCJBMLEwjeJBWpg1Fi
9IDbyhU7qerYqVuj+2Hw+imIxNx9k6M63WGcq765IryMSi8XtD0ZzREuwUXhhBLEJHZqN8mPnaGO
HyS167fC4BiFcXDdAaVOpnAwgwoSqG5mmWJXI+MWpHXb+TW1jzMzeGLFMMwSyiFDuEzm8iJ/2w4u
1tFaNFhi145Vw3LA6h1Yvn1hTaLeJJUTowIcm5lv6or4MJFZrcq+F09ozBRnIoiXs2T/pFswBtCd
luXLmjl4myLvO1Z0ley8xjHnoADRIDcz0sQ3niIxOQpj6nMrNEScta54EAoVytfzzp0rIw8U6K7X
0xxrud85vfsE+yp/rEtOFZ/2jhqu3dkQW0uxZmujgX57H5pVf5W1rnulDA1wX4P1YgYyb/EdiLCL
uXDMIb1FpxD/IchcYi1oe2d3Q1Wk3xQXGcwg12fryhwNgEXEkqPmT3ON7R+67Y21LopC20VRpNUb
RSqYpVT0dN+3orcjenkGpkRhnBf6ysi9rFppOMgNVxliiPalPYXDuhQNSjflVNfaKk/T4cwheJQz
cTEDmAMty1wfp/ykNHJWjVjZokUehdDOun6Ntk76NCRzT8F6YaeJWVP9OCkxl+myc8HB8a1GCEdZ
l0IA2Pej+kY8YK1L2pYgy1JVG2duq6u5cOWtWzb9tZmF6jPW1Db1c68/s8yOTyYLsIerIXYHdg/Q
1v6CtwcNkSRbFTtNydy13RRAZxJ5TsP7eIJJu7mssbLhyIeZuj+Klbq1rTW22InZNm6tYkiGpYmp
pxv4cE3tw93AmsWaJ6fGLZL4IajtDBDj61fP0bOSCdLt4RABQcTuPohQciMC+BIq0c5T7FD1017R
Vxm61EPw+jhHVxxuDqCgl9QMlQCqY/tPC5lH2JacxQ4PdveOshnrvRWuvmn7dj7Hr1qOgb1jgsEo
mCz8HfjfaP3tD4ZNsepU+JzvlFH7jkmf4ZuTdjN4yu2syIe3P5jLDYYUJCWyo7689OauVEo73pV6
KNdtFto77pb6KgR4unl9qGP/M2rAC7xqEewEBOAdFMhCjLzVvM3EznbKRPh6TTm2n6Mp8qdutsF7
2klDhUpFdjIETqwE7hSGD9UklIch1d0nML/uYzcAofJ1COQoGuYy9IvWyd9aaOCD0owHrcBZjdTS
wQcFhK7nI6Z4u77ptcCW3Ex966bB6I7nxHlOLGB7MWfgRdP9B3O4/67lOMT0bNhGboLUIOYq9Lm0
ITyzTU4sX9S+LAoZtMsX1M/+KKj7me4cpckO7nW8ziKFZzHUZD2n5TkCxvFQVIwWdyEOH87dQ3pW
btfRLN1Y32Ztmn7LXAoLnlElnyJJT/v1BXUUHC1sSsQ0UIonXFEPhyqIOSsEVPStIa37XEaXVSc+
cCs91lNx08jqzVvFXABuy5nOocfhvj+JqqBgDYVE21Zx6+7CDoOVxNKrywyB39XrT3ZiEnlVAJWI
WViAhwxLCRAyhmuhbdXCuZ/ddL4AxJ/6mtLGZy6LEyNB7qDTtGQki9Tf/kN1MOkgxGvaNptyA2ve
qgvsyla3rgPu7PWHOj7WSH6QaUaumFdGurU/VCGnbLBdJIDLqG+DDsaRlqXf3URZSRobZwY73lcM
xrUAUxknC2KB/cFsI9JVQj1923CY36qiT65b9awH9clRqCCgTLP4dh3CkzXgxxUEKm3bNvZ0IxLV
Xqtxci4NPw5hX3gOBLDOwoYmq9t/GAS6sePFTgQHwapej0lhXnZOMwZwsalKWjLMrxTRpl+l1mVP
VWPi3Nvnzrqvyjf76b58kkWpbWFMH5V0YjeCyVc5GvqTgxNog0b8annVJqverqXHUIRuxDI0uih8
H6zMxjALRYDK2bqxtK5EXSS7YpJvFpBeRlkyOHRlFyvIw1GE56ZeYmkYHmvDRVOY3Saca3km1dGO
oqVFexg0NQRmoCm0RPffYBzWoxvFKaeiheHPaMBJ85EcigIC+DEwtRr6smK0BPle/z4uUfQOZsfK
r6U3RlsMpRq/jBTaDGldX6Ok119O0Viv+hxuoW9QGVpjNOXlZ/bQ8dlgLWaFVIspA6J+efih3UYR
iTTRY0wi7ypHd8RvR8+9jOfqzcKJXEugdYDAwUolxDq4cZVxDJ3OHKGPo0G91tzWCjR3OudCe7xd
F2QQiwlhM8poh7B2sLUqFXxv2uZRNviOaCs/y6dzkvunRqEjtFRD6EhhRLf/rqs4n5G/j2eIV/EQ
UMXQV1XrvrlqBj0OfSY0dTWuQfCh+6MoleJ6uOaOMFlM48oNC/un2eHiUbileJDzjJJJ7BVfs7LV
16+f4y+gxH/Hp6DUluI0TZilqQ5b+QXr+VtGPSfKZM8UV7ZlPaiIXftT2HRhvrLaZBzX4E+W8CJO
3YI17RhbLLGTflslVCoRQ9NkE288SVftw1hYaiK2rZFk+rS2K0XX+89dDPnR8iUvS/shRdXMGmVw
VxSRPyuUSINBR4DJXamIL+X3Ctx6J5CZhZS9ruCgfIHk9jzuor6bvW3VyzHdkAeb38cwJl75lC0V
AueTCthOLTdW13dJsy3zcKjYgFlhTwYqNCLljq+lZYebqMtDGcQJqU4a+8KxKacBy1PUBiq9W6Qd
FUqglDr8wZsprKF9Tn40D1NffCioqygV3F60AxLfsNv0mxU2U7JtCTqLdZXESR0MmWG1yq2w4uH7
WAozD6Zcr2pcfkP7bZ6gi8YF8Qvy3EszizP1EL8SIV6A/RcN2bCYvZUdtsVl6gpxq0xTeS7U30e3
/xqL7sKCbCWoOMRnNhEGP9kIaNKxMfJA5qP67NmxvBSRhQRlp9HyD2pkYT6oqOp8D1MTVauaOOgc
/3p/L758DqLdZZmyUFH1PDhXoroZmVRQBmE3RXfDjIgpVuhvShf+GgTJDSSC6cnzsAfRdepKfRSG
TeNOQ5HRV6pQ3PWjVd/j7TP/fH3znXogkm3o5DQdSE4OHkhBfQzbnqUDyT0fYKit2ytZe0qxOjPO
frT210Mt7EoOSoQW6BPuny8gJZEtUfpqG3lZ8jEZVDvyx9yJL8u+pAQlu3L6ggZ1a/nUzJzrYRq8
1MchoG4uQyvOI9+KPbzZpZ5GnypHQNny8rq+HZN5HH2uWbZR4TkDtkfzqDyiOhnezyLr3oVZZJHw
IqSP4VlSwjn0ZFm5uyopYD9msRw/OzKa7iyJNBGm3aHnp/PYqCtnwHneL+oqvimbqEkCRGoM2xdR
L611V2vaI3oY44Dxl1J+gWkojY2UOrVTl9RBRQayqb7p0PSci5Rk6VpRaLmfm1Tm7LeDc9mBSC4s
kSJ8NkM9kkIogCFlDZ1XZfRAu6Sh9o564/zp9Ve3X3n66839PsqyhH47nhO86/QipRNGSIBo0GS5
QZl3+qZHRWrtJm3Gy4qre2bqHJp9P8r5NTLLhUBqCVQP10xFONFEGcDJkNBtZ7T1uA45rQMN/4EP
bqNNu1qLxL0b6f27qNfYK68/+cnxoSiSTINlProTKzMalFoDL1o0MQXTIU8eYyUdg7xSspuq0WM0
Hc3pXav03mdRSe0MJOR4byJFuBysBJQWnMWDnKMjS+VeXBr4Yepe2EY/3yK2cO5IewlJ91cRNWTS
a0IZtAdoguy/38bL0qbP0Ebiiutqv1NiL16pOBVbcKI0Z0T3MMm9ALkcpKS0yaboZnt50oCVSKpn
BxL4p7gzlMivw6b21nVftzeDNaIR6sA4vNPrqPteRS4KVopX6lelNrjOCikDxNAWB4afhjbNn1NT
H3OYEcQKfuM4YxXEWa0KLjST0s7cSxFuWoQDLqs61cVF3+C3wdzb2a5u6vbTSD3qXI90ee6DeUHW
BpQXZ/ECKjs4sZhqt8gFCkFh35eox2YOfqjdvWso55h1x2cjlZrl9EWzmgbQoUM5MCuJEcCiV23O
lgZ2bVKuy8IstnUVVr6Bx+A5rdxTz0YXGbwcxT+62wfPpqWDO48hx/5URtl6TsS9JxWcI/W4P3N6
nFjEGnmd+sKRxgDsIHodKUd2WmqWW7jf5bofTHWjVv25rszxGYWkPvjFF2QRO/ag66rPlTt3sVEB
VQ8fiFb6wIRBzHmtBk0h9UAvlbupNi9ePx9OvDeUO9maZK8Uxg9tV8u4KFsjR7gKDMxM/jX8HI3o
syiKH3Mbfnt9rBPzyBFI544DgTL50TwmSKykRSW3BabbQUSRdZWb3q9r+r/2oN3Nf/+dr78jXyVF
hF/L/pf//U58l2VT/mz/vvzav37s4Kduqx/Fx1b++NG+e6oOf3LvF/n7v8ZfPbVPe1+si1a00/vu
h5w+/Gi6rH0ZJPpRLj/5f/3m3368/JX7qfrxjz+ennNRrETTSvG9/ePXty6e//HHYm215P2/zfoy
yK+fuHnK+eX1U9P+7eopEzndrqfi9K//4If4c5r7J+L/+B4sbFj4btRQhh9/fcf4k/9P94DEYgkS
eZMFTtjxP/7Q/2SLk8AhEq0vWJkF0tmU3fItRf8T9LmLwBbBJbB6aK9//HMy7v46lf56T0zOr6//
hg3gXSnQnfnHH/urZZFTQ16foqKx1JKWC3T/TK8yKzZDqnsX6iSmdxmpf5Ahev/+t9k5Mcr+KfJL
P22pPgDpWMY5qCMp4WhmbpsxSmlFgS5b86Ysp2KXePV0ZvmfGmrhfRJA0vMkyd1/IDGUasFxHF+M
Y4TKUhTLTQXSDKVIEZ25dk8NtTR/OFE4UI4IeySCeoHhY3RR55m1CxXVu9E7J7uWra1+eX0Cj17T
Ur+BsL8U/KjWHypeGyi3lQRU0UWUOPFqUurPRTqdsxuj+LR3k728J0A+KPUjmcVSPaRTA+CgaqnL
+AJGlnKDLOkYRb6XqcPPjj6buSoznay7a3Oqf2WtjyrG2P04BGVkaMNWrVX1xtVrdUJuyjG6YB6z
QlwLt4hMziA7vwSsjqkQZWVMDasJLOM6LdIquhn1MqoCYSjTrdVBqvPrNrSLVQkQ8uswqdl14+GL
uLKkG3YI3LX9cDGBuR4DOc46IOS0l6mvmGbq+gWd3najeiMOTXomDR3WBCvS9yzFRtXHqqHMzhGV
S4qIU2T5sZpnMLWqmOBfmK1xF4H1qv2whDK1Bl4WJf5keQJ6ZFx6F5YeWfEqNCbtG97TUe4DAp6e
0ibUPpSD09pBFlXavGoULc9W2qTG7sUoc0NfwUEzR7+fitnaGQ6Kbr4m48U7A66KsnMN5BeCyXXx
DyKpKKitWiEvW1cKbSUKh1KA3uhJt3ILXX2Ou8JMVkYsXNfvm1i5j4rBSPHbc52fSEHyhsZkMH62
FO5i4qKkfVCTvO42UL/FhTtSMg16pukbSbv9Pcs874sR24LndBUr870U2ESQ0JF4jhS8xQIxdqj3
NKGuPREoFPnKqbCGXiHVXH5WZ6urVuQdSu1TLZ1qUKqhM/gVPNvCt2Gzfx3KCceVoafDT5cP0Zqm
b4znOGrsB5qAVuQ7sZf/JIaNdV/kWlSvUSoHDGWl49AQ07Tik4A9562Qq60/JM483uHvqk2BWXnT
FQCxHHysNSrXLQqow6ZAGYuCifBq9KL6qa4CJy+SKMisiNnI9T7zrlPOue9qXhn9mu6Gaa+zOQtH
aA2qOV1HlRd+q5xeSh9FmOmzVpqiDWAHJ7k/EB5fhS4nTFDPSv+OP9dEmxCuucQvQIyXKZrn94Vd
wfJAyUnKQJW5V680bRj0yI96j6i8TMgA/LEKPcTC0sEJr63MCpn4vIumFZRJYfi6XsnnYRzbe4+C
1k07p8nsc9xEz0OdesNVHJrGI/PjtcEYgnZd1XYrEegYpP5FNkMxrTrRmf3a7TEU9W3SkoYSb1vo
68bou13vlbPLR1iwPU3teHfm4ObKlkO1Vte6HtfKxxJ92cqfNDcmGKOND22mC5213fXK2stt74cW
N1L1cdO29PUggcOuSA3mMRDciPI2r/tSR2W5r7P3SVr072qeHRJMaOafEhEnHcIq6WDdsgvaC5mr
sxYIe6pWqlnlalDMCeusRbU72U7ToN7jkVJGq0ImTRTk+JeWQS9GbfaFrZYEVBQlrW2ngzl5l/Rq
/yXtDZldlJjVPeazI+MdJRTWphopFjGBqhXvvXLIGhYoPdzViBxWjjRwbIqgnoz2MuSwz/3KswfF
B7eTP9B8n9PAGRJvup5biVRxF8Oi861mKH86WaS/o1Ca3FQo+b0zIDy3fi5ClTXRCfK/zJi+kbQg
Cd7bTkb/vkaQNagzbVGCxvelXFGFHnS/nEQbbTodqYkAU83uc5m52F2rlQQR6BVmm1LA72uJY/tY
4VAVa9G32J2F8B27gZFm4mBNTbTXNdyd7VzM/uiZzdUIB3/EecgbflI+xepdgW2LULl1kUrplr7C
A1C/MKV2S8Uw+5LUY3wFaFV/kKkyTKvR5JBfzao0WgrkHgzkSi+Gn3GZcSxYZiyfq3GYlKDu4hx1
5Ehg5pZ3dhP5tvDMxLemvOYsb6h/b0IJtdL3aJB9A96KDCLqddZzqbkAN8qhtt5p8di1QU3p5UeS
NOq0qlRhaKvIzhV7Nc+eol3OaR4WawOHkHqlyHg0fU5zQneZ28aPvAQWEahV6mg+XPoUGalcSz9k
KrCkwskUv9CT2AmcYjAHfzLTRPEx+DOgHxdJ/b31qjBc50YaYdXazo65UvWqs9YijMansMncL7lS
ZV+nQteiVWKNFLu9GXdtP2+n8Dbl4EZDOTW9B0tvTM7CevLidTxjx0YNOSm/JqqOmVAeCvFFC8MI
kdJhKtdSK4W69lhRRqCUWnHFfsnem2M7fjVSRbhrxcrHem2AN+z9yk0T2x/IJiKEzGP9s95V7bfc
NuuLti5/1u7kyiAcrClB76LtvpiVm1srxJP0T1k0OR+dosviTYy733U4dyJaPL/Myu8qS9yEemnn
6547r+EKKVX8rLVE6xAzG2JuX60ov3iRq3QbKWTykKr2hPCT2iQfGxyLyyAku0uDEgVxw89nTJt9
ifJ9gC5D9t0bPXvredMN6Dsv81U3BcLS6U0Isd3MfkLa0Gffnaz2wSonHY+1SX9CVlikQW5Ra/PB
hg2XMXIMmm/EYfrZq7Fs8pWmKYCzZUEXFmUUlIluvKMaF7d+HWvsT83skos4akWzCtto+jo4aPBx
4hXQKaCAa/fkSO3sD7VBrOhMpoLuSu/qUWDa41wFUjoTTYAiQRslTeIxXmkwmIY1PraO8CtDKVIf
exMN2ifHtO6rilDnzdA4/QdbNmMWmCIqmhVng1NsxABD3I+NSOCdaQj3izVaerdmwSX1Xa56aUrU
4kkaFlHkXYex0gzbWU1KK1CtpDMDZ1Knad3kVdj6MkmrZmUjj8Sse4JFXGKz+7WHM/SjNe3ovunH
ReCHTzvuJLjUz3rYzsaa+ewuY5myYttZyboLs1cb0LPU01edtmwiL3Tqu2xoNTYOxkYEMVzSo1/l
Mv/E7RfnPu2MmqkmhnouZ+DTPuwj8Tz083RTq70zr2fZl1cSmD9hGOUD3a8pxRK6EBrd0aJwZjhw
En9g5Pv0Hc4g07dQs7pPM6fHuO41uwDQaoe4UVl5HD81qjY5WIjG+fcWPYc8KB00q67wHB7eeZgG
9IGCScuXWivr946YnNtZba33jqOQ8mZmHo5BU2e29CcEPr4JHNM1pFczpwEFHZUfjLmfmRDAAX4n
bHHrOdMU+6yV8aIrRKlvjGSU3/Lede4KdAZv+342npBsZC4ttnUU2F0TDreDnLsxGC1zesxbT+VD
oq8SgRBSQCMabWlagSNiwPnaLOE3GnqZfSjCxElQ8IvM5zGvW0LhqZMPYQfhe7N0CPEGkpXFhs+z
iX4NNkgWbDtvRo/BqyiwKfgFFL6e9NHTOKlN4Xt1k2WBEdnRZ0tOThnEVpayQXG8REA/rszGT7E4
/DJQrLwb6rb+LgZTS3zc1ex51Xu1jt77mCGuGRbAhhD/sWj/1oLuTuBNTdjT8JUc2apXKyou94Mo
/TlprJ8TEDmO+WQoHtIIEtzsGYXiV63RRUGR1yPwPE1IX60dp16btsJ54XT1vGvU2ebYNwfkNqsQ
A8agx7XuFogbF+g8k/1uJAr8SRAb/STuX8+o9ksyv1Idkhy2BEQUEA77eWKGypkj8KTd6dZ8k2va
pQgH18en7L5XwultDW14yKAkKGlRgifPxxFtf7AQPGNh4M91keiaCccgjDPfDZNwVfNrbyQEvwy2
WEw5oJMW0K+xP5iptdFiJFdcJFaCB2k8e2QptL1en78XAaV/Vz2ZQJBqFJzB8NEWooF+8Exolgyl
BxXlwuV87v2s6IBa0nWpEDFj238QiV3UQefOYRW0iJyNV9ByspWsNPC8xSDim7q1TSIRrWmN9esf
7ujl8tlMNFp0SECgRA/TZWummgn5gvmeCo8PEXrqDni+9eAmcnzXoDF3rjh+KKnHdIDnoM9AlxmS
hX6oN1XROG2Lus0uRGvLr42jhdcTdKcgypviSwwp7dq2uhHh9ba0V6aW2x+zyayvutFtrlSyyCs6
uVdgSYV2pjdxVDqwl/oEsCnWHwzkI4fPtqVizEl+IVFZIS7NtcClCn5mOezPuAsRgaY8amJUsXA3
OYJYVp1a1fasubu+0FC0xhviAgPVHx3F8I3ZFefgt/ull2U4UA4LdANNITqN5sEab61kcaPMwx2H
eLkhmZlWqiHllo7E2xwhXoai2EYDA1AQ+/QQk0n260gx0QhUoScEWSL7i07Kc/qgx/NHCe6ldQUH
DwWXgzoc8W7iKaPt7sbYfmhj7brJ7dJHkfT9YM+/lIXeVLx9tSy7V879X8u8/x+Lt4toLeUxOmD/
9c+q6FH11n8qUJRQ/B+ZaLsi+ttFkz0Vz81eFffff+dXGVd1/0QJlPYEog5UbBcO1a8yrmr9qSGk
4rHzsduDSPuvMq6i/alRs3MXB9NFfcz8vY5r/AmKBp4vO/NFigUgzT8/8f+hjrtcV/8+jZcOKOon
nDrcM4ANwJTtH/oFJVWXw65DPIzYRoRsiDotxMdo1LGEsIxHFbCo96aj5degiEIswoscf4e0EhRS
U9epGLTXG81f9v/OjjJj9dvLOVs8XkbxdATRwDXh/0KH7aAxpCwOVA0n9jYnNiQEEkqQzYbm22N3
7hQ/3IUMxSEGvhCyrcF/D2aRImyl1pqibkNKjEFMnraqcre5aJXpez0k9RlS2f7RzJNREmdhYDgN
2BYBroNNn9KpKUZwVtuIWJhyR10D7TkrEMJNdLg4kHldACJoAoOLhpW0vzicKS5tdZrtbeaq2abO
uzSmiipVVIxCGq1qa6ehn6CoXaxIfKbnWCrFg7DjrEUF0iiEH+sp2ZxLyNr6Wcr+A91Qaek1MrJJ
dtl1hjSu9aHqxnVXdZO9MRRNlO8to4GiT8va6oIRGhflGopUVRA1VvIFlGFmrxeWRr9WZTspX5x2
rn6IqBy1lTl4sb7LEGa+6iZNvUNwLbtDe8+d11aPcMtK9qK+tdM4fcjYf4+RaUnbV4GNfM3qKHy0
hl7/SXzcPPLGxV3bK0bhT1A1Rn8iV7V9s8RBnKAzia1LZSjze4RYa7IfMTufqQwthd3W0b5Id9Ao
HY8GYc7UusVHzxmT59atwNvOU9glfpHMxU2eUsvw29ylwoWfp9escBd9ngEYGdYEw2GI+6+9PVSV
n3YWFi6FmZaPbbuUKOeGfrhnd3YKmistlSvQCUzRaOvhvd46hXPZOlK9JOTP8V4qeyqZVbZcRJ41
kUb3adOuzbGXt0aoW1+jQpHlqsyb9rORNQT8dhsN2WpwzfZD0lGcClsru3bxgolWlks8FnjUaZWt
UddGcjNUKiRiLxnKy4HuQkvOBP0jL+d4a3fq98lWuVxNzDDv56yzHxKP9MEnxRWPTt57OlSFKqxX
XmXXmL9U5vgYT2b/OMHdoluQOeFto2fx4CcZlTGU7MRaKYcxClq0jf6HufNoctxI0/AvwgS8uRKg
KZJV7Y36gmip1XAJl/D49fugNLHbBGsL0RN72MvMQVIlM5HmM68xqMvUVOzz2NQfBlQKsmBUpPXV
ijVqHo1OSfpAxwwRMwN4lxY4mffDLozko2ECF7ASB1Xy3IrREtEVxf5jUsdpOLnYAl2mrBrQY0u9
8WcoYv2T4c2z+pDolT2dFLurMJh3M9sHI1Z9itS2xvg9Sd52tdspQZ2Gib1rocKRB8k4r/AVq52P
0iHZQ6spcoNBKHq1g26eurAbtLzbuaVRtX7qufFbM8zox+sA90pfkOdOu3EO5yfQD8MWBOGlE04Y
Tghh0JAiOro94SNBdZPCyD02XlMFdqtFVBCHLVvlO5gL9whEaThldIFMcovbUWRXhzG3o32Unqw/
yNLtqcA4yg4rNjNIJWKLlEXFdUY8jcZOnW5E9eugD/QniFNKtfwf9876uUm9eFKq0rSPRueGp8Eu
tWOelcKnq7JFMntxPckOUWylooly++1MY9PsWzB09jHS4v5a6LlyNnpV3ZjQ3XPDhMjRyKVguzOj
1f0/VSKGGRjaR70p/xKROx760Rb7HCG4Q9FM/fvXH9IXh0OalnoThHN7raoyZujuVoVrH4dUtLhi
K9W+5mY7l22h+cNsbWEt7r4X2i1EPjw6GmDuu4dbjBhNTXlqH8M0MXfpUuyjiN2eRjUzN17SF4YC
+4U0G8AkUrH1SlIRGswQmMMRP7CBKrU1+VoS2r6ndnIj6LkfamFd08cGgIPN8TrRyzCHtoqqxgUM
mMJB8ypnT6TlHIZUGTb2x0tDmTj4LBIWEI7WmpJ92NfUq/TolJnNH5mbDbuxmZQ9OYt5fH1r3O13
/psF1aXBJ2d3rCG6sVJM1CSn6BSZsvGRBO980xuijfncbUBGYf/RyOYWgXK2zPdXgCC6iRSftOhU
kbQppOg7L7Z/lG1/bcpiSxzghcFQiCQVIEtcdAlWR9gyikUCuotPcdi5OzlHoT+2GCJQ3HR2EJOV
jck9m/7ehOAe8RX7Hfb60qZfq3J0mNjSHkzcYzjZzQMGWuajmXfVwY7a8KzP6nySuArsMi5nyLGy
PrRhogS9I5t9ZUXuUemcv/MmNE/61MQBBWgD3+TJOmReN4Katn/o6dD6dqrVnzQaensX88nHSpZb
7LZVKYOwlIkAngAJj2sucfdq5Wide3Fhz87RNPP5McnH6CxDLf+pTr3j7s1cwZt18oz0I5xwh2At
1al9O1mVlmjgJOXgG4oSN4cB2ZBkB7Q62VLXu3uHuJLha3D8/qEar8J0+icuOETXPU5J+L2d5qNe
KGcriv6IxgwZN/uLUTtXMAobh2TFI10WZgH4LdAISMRcM6tx3cYovJLq/LG1ouTQe735DUA5zcBF
ljeTxceOavUp72LvonlNcgntOTtmWpb4dm0dzRlhWG+wUN/XWxV2QG59fP0Uawu45XYL8gMJqGG7
agv7e1UWicseT4No9Bg0hyhczjqUVk0baTEWhEgRPkoiA95skbX5uQjrakd/t3lbmr1BBlAoqP68
/pNuESX/LBkJLqUTGAD4hSwXzy9Hflb02tGnyTvKCWgfznI1Frdty5fLProK4i4kcfQwZqvfEGi7
O/58K/QALF5wZE9Yk9uByXhKABOtd/TC2D1nczjuMb139w5NhaNqNPnGC3R3gzKeC8uHZ4E6Lzzq
2/HAHSda41reEZaacwVFXz64AqGB15fzhbPJMNi9AnCibEDn9nYYHjpBf8pmPZPWPKGsBzLDstu9
Wht0wKM09dN+yh6VXmJWgOzKjjJt8jS1RX9Io9B60yaY30nANb/7KjJ9+BaciwXeCFjp9neNVgS8
cYzCo+gUgDeaWl08ivxBKurfk+D+Z0t55Oiw4YlCeYFvhzK9TKGtnoVHq9Hia4FxoG/nTXa0Mvo1
ry/3Sx91ceBkxWFygoO9HapoJK0QKw6PAACmfWKk6qlTUtt/fZSXtuqvo6wKHBVubpQxi/A4OEnx
BoRQea7Igw4tuj2PYPacjZdqub/XtwS0FArk1IzQP1ntIdQfvJHo1juqmt092LP7Pav70YefEij1
dE7L7ve0jp4/GYoCSBsjWQW5eL1rDdSHSiBR+JJGWQQqom4PLj3AIB69eQNq+MKFA6WY0WwKRqQp
q90h6hDlz7QKj0rYREdYGpMvAGLTWKf+4OX4Eyce1Cx0YTe+4rLDV6uKpB3oZfR4F7n71VccWvRL
UqMLF4m+T1MxqsfZSeWu9wpxen2/vLArGQlXC5g4Orqiq7NmKhnNF20Mj7BP5K7TFWOvwmvZ2Psv
PSbMZ4mdDBg/BAK3m19I254i3oRjDazogvpRcshVlL/mMCnfpGh778cYsAKVQbHv41H/OxbNCF0G
KbzX5/vCfoVERRGVPh101jW9gWBlKLwijk6FARdIKcw+iFMdkZo0Hy6pUkE56JpiQ8/9hX1E5EPF
lqCY0vxa0xx+9czit/GpA3J3aUN8OuXioavGvXdyhd1+K522C6AcVhvTfUZZrnbSwmJ5nvOzFtLt
wksednVWsvikCX2s8Bifi8knnOxOQDPBaoy2Iv8KyxEEC9gJL/PbsMsPalHRnG0oEXHzul50MgA3
SXB7BrihmNXV2Iv2xGVZDONVAUr1rY5LYGVFp/xlRpNdHRKoB8NBCno4uyps8jdhnXg/m3zMrUNS
2lT6KIzXO7o/mbUrJM4BfuE4Ld8Ea6zPJd/pu1HqQBEtiYEMLhrqPs3crj/1dhd+D5Uxbved8PRh
Z6LaVQJaiLWvfTS1VdCkOkjLNhYqDEVcp2YfcBrkfB21l5MTwX/cNakd/ohQ3sgOXonljzSt4ie6
XNmZh7275mnWPkZSFRS1UOQrwCUIBRUTV0+CKTVmQucWzIwxG6X0m0kTZ0iUVhIYmpKZ3Ayi+Yb0
mlr7IMVS1Te6ekEzMbN0P2Th9GA1vYnQyzBAMjXakRUYjKHp/GiI0q/PkZePV96HRPUKSmFeMi5S
uD1YAFpL+e8JZT1fqKhywfmhK4Xt6Hp3yrkaTYgzMYr0cfkee5P04LmgpV4/eC9cNJgRLaQmMspF
Svt2I3a9U0JfpIJZlbG1n6IG1Noc/Z5N+b/n8j+jmKuoGh9tasydFp9CLf1udiQ7FQjJjam8cDvD
wFjMzuAsQ5lcTSWfQAFSz+E4Z/2wd1G2on+Qa/sYb6eNUOiF64om/8L95L1baK+3qyYLbTJzgdoM
Qu2Cvev9TDTx1zwpua8qAGgo0G9pUN7PjgLz0obnfyhuPKemv0TZBaQakdh6ckrjKNk7mdLuQyBJ
ByiOWyLdLw1F5ImWAPZNC8zgdnYiFdQHhYf8UtoY/giXdu9FjvWuNUFP/u72oy1iURwjrkYgSF9t
jDREVhPV3/QUS8Jcgpl6p3Wet399lBcnhHs9Ou0UWpAJup1Q3VIBNxK00cICNFyVep2vT8kXdci6
f17U/7u26//DhiqZBo0w1uR/b6c+fhdd1v3aPf3v/+jfvVPD/BdXLs8C9jKLXsC/G6e69S/si7ld
KLMSXy8H5d/8F0guWJMhab7QtEgsYKf8DwHG/RdFKrJ/cn+qmCh4Gr/TOF0+76+PLXkL5UJceU2e
WrqnqyhHNxojilPVOdei0fbTlGnncUzaoNYGwDMRGeMva/P2n7/8K+Fmvd2WuVA7xJEKjZjldb/d
bhFgp7iSTn+WYyOPMFnmx1kO1cGbui01qfupwUCH2oOmFNAPOl23Qw2dcAWv1XCmAtAdcjY58A8Q
4xnojL0KWH9jas/S1LdruWhb6HTcKFaypKu5jZVV190c6+c2El2yU9uofwyrRLdPsQ7qdG/n9Ol2
PcD4bqdkHjWQRnbmG8PJOkCYqCBQsLWLrPGhr2G0F7mzKQ4xqgsAWBOFID7qEwskZJqZ/tCVBUha
o6Nliu+NP3hj8t3SWuNbFTXj9xmTXB5g+l0hHUtpKbC5Te2NNwDS881Onf+GojmBBYxc/UPsghPk
j3lxdSrR5Uh2k20L3QdKabk0RrPxm8jbwf6cdHmd772+qM+ZSCB0jFy8gCFrxcx2GGh6/YkW4jjC
/zTcR5yGGqKO2gHtpbae0gSR0udvNTO2/orY+ZdOqUOfFLe4dBDONZ9yZrtvExTu9pRpamiuntUZ
u0ZK+1wQbc2nbtnMfpio+V8TltxpQJ4HSA8miktLKnKnNCjbyXw3DTG9qEpMEi4EQRz7ORycvZB9
eNVro1L2sZLrWVAA7CRJqaemCFnCYCoGrzg4sKl5SmDhblTQlh232iCooND0ANZGKrhOKUDZ5H09
S+MsHGPcI9rRoB9jW39g3xwdNFPk1BU77WOTJcZH7JrsjQ16Vz1BXs3F146rhVyClGKVHIbgPo1s
doxzAXvoO5HqWAVGRaxMYXqERSIiFbqI0b01UHQ9N4YuLzF6Gc0eUbbqEIdKiuoAErqOr1vZtCV9
cFdfXH4eyTdXJVpLHNjV21pbBdDrKTbPqXTNXYeg/84K2ReeS0E4byRY/a6Tj6UrxhPgee0zPrRx
AIUBTk4dBTKzrs0g3vdtM/ko42+Jua3DQX4e0SZ1e/BQcI/XVxeU8Hx0zco443htQqJS+gdAStOG
nc9d3vk8DGETEjP0ClD3vb229AramB7CuIojfcL5ecyH0K/iuH0PR8E0Ay+qnHNeSFseczvv+52Z
hcZwGrOh/1MPN+LGF38NDwOPFCZlTHy5z38JrSxlhvQx8GvUou2+KmrlVbvZbtEuhW4yujsT0os/
dl1t7kxFmDsRKyK6uEMv56BoZ7b06+/Hs0T67RkC2IlSC1Escq5sltsfVNUC7vdgmucB4yMg8NIz
dkY+91+BkJWTr44LwiDU2+itFmHXuzgVfzVlVP9uRA0t1dUIO/EKog4JNOb2d3jYFJtD2KMIFnru
QwPvCwqNlz6kubtlxrzOxZehKB8tqMqFFrs+F4Y14vWOK9MZ9xHPN/TwTS2qT8OsNzuzjz81ePj6
lL43NuL9didfWPyW6IchHbduNxfdFA8pcOozwAfho9UdBn2XNL9FIl2sA5jaAlZdxHnRNtJvlzHL
W7AKhNTnASqbP1YGRSsTXmI1AuF6fes844lutw7+TmjDIlKh4xazLtI2uEbVXiXdc9Vqbh/Uyqw+
DW05uL5R9CDV7VxL38nKyX9GmSjlzlHbwQPZOymHvK0r0uYqS/1x0pzPArHxPz2Uj74mdZ2/G8as
7HaDK9L3blz1+1hPzMugmFcQ3QBJ0qTWPjigkoGt17NzUWsrt469FTp/gSdBgd0oQKs8lLWtvukz
GgaA2R1ofGahJk4QpXryPumq8V05gM6geNfo0V6oZfvOlaHXcSN0rQAdMzlci3Wk4+hU5Q9u3kDu
QhEoQfKnd82TF1JV3+vp1Fhbh/I+1GKfPNvVczkCAl6FWti9xgKWk3fW4wglJrvtqYqI1qy+EsTm
XzN1gFitZImVBVYf9Zafj82fHbwOazfrLioa4KYH+jVLgWtSKZXCQyn7Pxvgi59e3wQv/FIqB2AA
AB/C1roLCj3an/VQhOfCabVdUlrWmyiDKhNpAKKoRG9JszyLYa42HQ8uSo8LNJhGzOq+0twhjHSQ
QUgwpamxm1oHTOuY2FdvNuuvxE+LnmAiXf1oWuJYUrWC/th6+lOnq+kfudZ7Qdf2498UvOoPmV4m
8c4dk+HPQY/bawNh4GglcpbQQanf80CCz9UhrtUbh+e5yrieBxaZgE8spLo0a3XflTlcgpkw7Vyg
IPMx64UTyKEuP1UWpYtJKYtD24LfmlvFgmdhgoVP3PlQRar9TZmy7uH1z3h3OUE75/YFGUD5k6O8
fOZfnqV2KkHgOXpyKXQzQ+em6Y5KrScb8RoVJf7OzaxpnNNjsQCVkpG5a4iiA9Jazd20vpR0Pg/U
ILXcj90GbZ2h6zVnX8FEc3Ysdxof3H4ynyxRpoK3sY8/1I10/ubv1z+KWqYXVYwQawszLw6lZoxP
bROhJ0jPXIlB9Nj0kKmho449C7cimjZxcfIVgsVTJehU7t0lJPYrpJoyFHwhuh7S2Aih3jlsWvhm
cM13PdQw5F66aR73dOjl33UYKp/Gpu6cY+ZpsL5ETTrxQcxW8lUJF2kpuzWLdp/Valn71A47kwtC
154qb+yJl+vJ3CdJgcZ5mHmf0RhP1Z0DZrGDpg0sr4UNGx9zMYhnvT2uVLVJgkHpl3PuJZ74OpjV
+AnJJ5n6CKIjZDi3OAkgEuNQrG0lYq5BbWn0ZCc8jno/mmCxw1vuHpQRmurOhEt1SPGaeqP2Efxv
Tdqx85iaMvvWlJo3+nZvUZWTcw4ESlaxvOScxTemG5mKr0Yw7/d9M3h/z5Zewm0rdSCzY6xWpY+Z
2/x5CFVz2uXxBGOud+n0+73oZX+ohjl61yu1g6eInVTv08rOPtK/sWNk4grvI9Vi9zvoBWYylB0X
fIctTb+PMIWLoMlWZFsk0dAetInQOem7ICO2fHREx8qNc9nsizlO/lDLog5PWNHDj+xMY+72DRoI
2acmdfvPgxaCy+upB5aBkjcpaEGI17QWJ3fEjXZW/LBcBIiaWU0eB2koWGC5baE8OhG6lEvdu4Rk
UzV2dp4cq11yNWg+O0vRAfl1tRpd62Fycww2F3pm1HrRt8HUEz0gvo8S4Iegpv2sG1wIm3aTuOci
dOSPSHYO6EbDgIDbjSpqLkmujx1GVSk+IfkYHyPIT/ku5Y+nu9D18vOU83Ai++QU4YOHymRyIE3O
XAL6UvY7LEwb9MsmNadcV4D38WMd350dCeJgwp0V0yejKVHtcpMmTQNCOkgluh06f0a1Qi12BLT4
tiwFhuYJsrCjn6mifbPIk3/0qlRD7UvqfQbwFJfDwIlL3lbh1v1HXYcuey5wJHg3NghjwiRLveRo
KLK5JgYIJ98sZeWSPSKisEu8Jlz+lVCE+4Jm74RNSWL01BOM6YtijPEitZE44zL7qQ4yRU1+CEua
B2qs5ScDwYriaveu1Z/saqrf0h3T9eNchtY5I0//atmy5IQnXlJB2kON5hR7InooBllgH4I0w5NZ
9xNK7tHsnmbdCr/XXpS8H0bH+UODNPOQSLP58voNex/5oz5HDxGYB00nz75TEmn0KYeKWlx6i7Sv
hxS/rzKY+3oMt9YulPihUdyvylzFjynCBnuwxM+K0NXh9R9ylzTTVFyKU+TNZETUqW6ves2W0lOH
rr6gYNEGuXDETk7WB1I19kdW7B3Zjwun9R3z+Ov1oVckL6LTZWw8XbDuWlRn1vANS6b4aU34qlJp
6nayDVFzI0s6x6Vl+7nryGCKQQMhb9QdDDCugakYXsCTYRxCNBkCIxH5xnLcP0ngWyj60WVd0Pr/
PFm/PH3GQPg1V0pzkfTjH0PXLgNtLuUlKdz5HXmw+sFWtS+aVVYfUQBIDxnLd2rj2vjS2PmW8ttd
asKPAW6zIDGgmrFdbj9OQpRaNrnSXppMd74IzESmwI4m1/Pn3FQCte9E48OCH9yjKOrc3Ag876Mr
Gs7UfDAioOcLCnqVnlaZSWOwrrpLrfXVQUuHGcUPmR7QN45j6JmAOhMlNfGkcvOT4rrVtXG94c1k
VskTlOP0QInK43Ye8LXTemfyM+nYGV1ON3xP7wmtk5pqh0fUtvMcIfdDAW7g9U225PM3IQbrh0kw
aDMoaqjwrpZwcp0iB+hV4Mrdo2zWKd0xGzzDn1E9fywkrTezkPXGwi3rshpUZ8RFcAxWF6I6t9+N
LMEzoyQrydTT+GTbxCx5kYuTMuvahkrnC/ODEoeg06I7RnNn+ee/7NeE/vzA9ysvpVo3aGZS++2M
wtwVVq0GCBQ6ROHN72I8aNnpLCh0U1rJIKFWCYmq1wUeimp5QQhBBkVpK1dq2f2lpwe25wpG5UA2
WzqEz82f1apCOgWdvWj1LrvydqpZPIdTpyfVJR7VS1moV2747gEhEhxcjLoN2mng/bdEH1CfyB5k
6rQcT036bj6oByMS6heiFR5CW8x7bWqTrxjCWnSZzPRQZfYUxIuITykhZcB4So8DZf035dgHiloG
xqB96dDC3fWQxze2y/0xZzbQDD0AATAP1zJ4cWLUqELY1WWaeP7h0nfnVm37fSY76zgL4H94GyJy
iWntRt5xF+jTHQHGxoouaTviT7dLKrKYaFYY/SVS1a+p0SqHaELe8vUjeD89dJXpqtA7RLgebPPt
IHYx6kNrjMNFTRsN3tPsvq9wezoW0fSHo8Ui2hG9uDzQ8+fXB35uCdzuGIcTSBmdigTgsXVWhTKU
Ho7KMF4QX8i+TINsGjxzrHk3TdysCB2Qlaq0BnwkopwThZi/ZgRywGMk2snQ6h5FJCt76AarP5az
o1xykqUHu0zrY1Y2yk4bES/XEErZWLD7r7I0i2gbgS2kBLauSI2A6koSXn42HlIXY0piv9bUYeNm
XDnuLs/vogyvL2d5Idiuv4uoM6CVbjxfTOmQ5zaII/V92z2lY9oc5GxWJwdbvscGJs++T3KIV4XW
PMyKUx0B6Wr7uoxN3zLk9FCjq7mxM5dNcfvpFqA59zb9LCpYa7IcfPksnMtOv1DHz6+5G/d+48T1
26xsh6AnltloB9+XxxdUDA4OKJRRg6a3frtLcexOoRblxmXOhX2p01k9isoOoZST23hZGV6aQhgP
WRhVh6lXrUPXpuLkxYkIiilTTmMZT48d5fIf4IbbC/HpH6/v5uUsrlaEEInCCn1kuKDrs2pJxPBT
mJgXMN26P+MqeIisMX5qhapsREF3i8/VvjT2cEpbBGfXeTkgNkX0vWVdsjn/hhXbFydr3V1cSmeH
vdhGGHg3r2Uw2K14SqLhB5H1duHTCMYYkEv7Emk8HBp9igdUhquTMafxBoz2/kJ4HouSg0FFdLH3
ux3L6r22mwbFuhDL9DARQvPYY+AUoOtqnHRi/91UZu0hdqLhk1PrU4Cnl7cb6QAcRksfD6rIjbNp
l+KaOr3cmYQX50b34jdIDqR+rybRCeDHlnPS3X3ArwZasji0LLtz/cZXETJIYSecCxjI6SRiyzpB
Yso37oO7SAIMKtV2FGafq/9rmIeMuxaJp9xZLhyx62lRFV7156irD1brvc0Rcnt9P9+H2gzIYC4d
+GcOxSqKyJXaTpJ6cC6J1j91qQzSajorvK51f4Vac0jMZp/lhPjl7D2hqYSthAPT8j/5FYSGCzOX
u2YNu4+9QYgSICTKa8JC1UtF0jEcrcsoaipNBFcnOq/5BZecalfkTv9Q4qIU0GafdqHTd+9f/zkv
HAZQC3Ql6a3r1O7XhyFTTKsNS2c5DKAvh0g5qbZX+BZFx43v/dJQS5cHL2PCD3V94emljFPFoV6e
elg9ujqSPpUzjftiCLf8Hl+4TziyVGdJJpZIYFWlTavC0bm0nIsou9injua+VeOQco+Xze+lU1u/
+3iws7i4SElxsWEZV5FilLWtXUaJe8nQt3tbQk7AZ0zGQSTLOMBSfssC9T6bf2ahkURDESORXQca
IqxmQc82vTbOGJ6l3jTfq7wL37WWpZxL1uSh0LGoClH6JJJwATwCZXxyMAjc2M73VwWxsbbc3uzn
RZLj9oLLtaLuB2mmV5UUF115BX7uTM/id3cpo9C8YpBFcnUdoFCaA40TWZgPjagq4csw+11vakeS
xS1C3DOk+ubZIzAmdVvIp8/iA6sTYcSIdQlsy691Yc0noyMWT7HeOhilPVDqlGEcQFMa9gr8kmOZ
GR+iOkW8W6TR1cQ4OcjCvPiaunr6uDjF+X3olr5jluN5iDr1mMzAbFtVK79RjdgKfO9vVO61Ra+F
87wE2ssJ/CU363InnBUsMK9FY5c2bGyj8tVGQjNGa2wfofhW7vKp2wIi3B/sZVg6RrzgzzHe7bBh
pitqr7XZlcqvt6t1e/H+rNtdVSM6+vsb4dehVtvNMuw4y+oBrn7neCg7uRBGCm/apyHY5teHur9D
bme1WsxSqUuZxHN2Va2qvbqz1N8Ydde8zanO+WmkThtTe+kk0QvHtAdJXKKT1dQKdEgTaTDeGKHq
FaUDm0pptxhML85qYX/APeYwrUnP1Ey8tGzV7ErtX6GT6R3H1rlqif3YyXYL+/3ixqCiRDZGFg0K
5HZjKLBo06YysuuQOInv5f20D8MuObvpsLUxXpwXIA5Y4/S0MDW+HaocyzHnuoQwZ8xPQiAoOxbn
LtYsH5BQvRG7v3hHcOPwiC8aKoDgbkfr+il3ijLLrm5ZWwe4wGjk19PVHEDFYjFcvxm01tzXM9au
TTOFn5wkmYPQHN3Hzozyk03D5xHxVO2YFGODpi4Y7q405VOhFt96s29PfWo8zb0V/y6aF/YyhJXn
VeK5ctb90kq1Ms3IBZsa+aQA2Hjxzs6G8FDEDQpvMVqb535hdP72UVoqDQRfi4g18cPtcrWy7Kni
cWrnVjR7HEKkX44V3AsHqa2KhtRGpPHCUULUhuLb4rvFY7faDHbsoqYiOErJMHpBguTtCZXlrdv2
hd3NKAuaxiCuVN1VkGFMqt6mGrohaIei4xw681k1Q3ePRquzteGWDbV6lGit479DXQFw+frYxiUY
7EhM4uopSv55qhK4G5AiUUy1J/dDXQvlNCGDO/pdVUrVz5QJqJ/jVgPBLV3En4WMYs13bFm/1Rxh
RAB9kvI9fkzzY4nV8c9OFt5TiUzyIn+gOD8tjFPfELZr8+H1rfDSooEZRTuOSJD0d/nnvzxRc6dq
nSJCFm2YwyejahLfakEIQkTo/nx9qBeuBBTlIZ4g7YBQ2LqpnI5KnaRIc14nxf6EQMfJ7VQzmDPr
HGX61mZ44enlOsBTnesATNka+FLH2JWVshDXWHdxxNJS9UlzhbJPlag/l+nwXYurNnh9gi9tc3vZ
4ETvhIDO6hay2dwa6EpxrZVQBHE49bvYSbY85V76YmQpyxJS1nbXMNg6HiqEpxDCSCrjaTQV5Rgp
EvnmKcr2vz8fAD3PtUn4HeuEsLQw4xh6U1yVORuCHPXKw5TH48YOfGlbYDuqQtkH24t90O0OFAW+
o3jCiGvhNXkwOMI5Db02QqKX6Ktouf4ffKXFyQeQyoILX6M0HR7aSo8UcTUJjPyhbwiTqRzv/oO1
+2WU1V4gZDDizrUF1uaoEQxuJvdmR1fr90dZilYIhqG75NmrUZyIKca4AF3bOgkBqdHpt0ua4K+P
cv+FFjseHotnPD2h5e0XslCoAXmgZhfNTo0jwImfXYs9AHBS8dQgzrGx7V4YjpcCB24KHc9f6HY4
uyiMXkmluLQeGGihzGKPkjRyu4oU+7AEjPP69F6oQ3hIKlACRVBkuZtWRSG38jI11Gdx6UMpAbta
c/KmT2R1MaMxfMRd5UcVjU5QaUn+AKiE1qSB5aWi6sNlMsCbvP5znj/a7dsCWw6iM8k/REuKn7fz
D+3KpRDGz+nskZIT7F0jKFVNYFw0SJhqs1nmkR+JNv/eKhAcIGp6uvBd1I6oRuOX+UMWnQemrgvT
hy5P4hC/gcxFCqnAeDRIvHIK2qrVwTx0U3oYS4+94xotapnaUNcnqdnjX0ZUDW9VQ8aeP45GWrG5
FHQnjDqZv7hJX3wuKoV21txFu97usRQQ4JbOGQ+IjUHSOEfBnGal48djnUP3w+YH+dPOkE+6LqKn
0oCTHyAtrEPHihz978kY6OeCrwc13vTgAw7lGI7lLhqL+pstB9D4ViVtOBN1BUZI6DygBwVMBzwA
oDTKUdgFMuNW0SMdD5InBdauGn/WGa4RBx0rwMovwhI0iujH5vf8N6mjo9uoknBTRYdSRKnu9oP1
uVekU1mklx7iM7JWShpkntgsUC8X4c2+wA+CCh1xO9B2MKvLk/fLU91U6PQbZjpeJHJd+0lqSHta
BeEuAuW7PgLhZAi7Qq3C6i+ZyONjM83J08bmvPsN4DuJ5nnHF26wvvoNMUoqXDp07CGB6g8YOFgL
doluQTTYZ8tqf7uRuqCRFxjyYk2NY/nq6uk8W9EQSYMgrIdVMLl8xzQP9SN+DluFwLvXm6HowgGX
BR1uoDV6u7x4JzX5PNvygtDK9xZHtQDA5JYE4H3PZRkFwO2Cq1tsgFd3TZbHlRvNs7w0buheZwjl
6HXPXD+8ryHcTx1sH1LIlMQ/tFZsc6Cx4gL+Atvve2g2RRYMBLk/qI0vlpy6On6XylR8fP0r3wMz
+JWoLTxbgRHRrJvmlZY2tWNPzSWvy/IpHyA1UigMmuK7Njj6AUGp0NdEF9ecaSc6FqMrENQvFdRk
PNatjrYC7rs3gTAEeLYGBsFZrExXGctElm7KcG4uYdx96TOzexN2zWerdo2zmsZi40VY/trtSSM/
pn5IBwqG9p0+1zCjk4PiRntRSmnDC0/n89wmI/jAtBQhDfU8bPyKqCj2TcQOjrl05y1a+n1J0TE5
YSYatIu+CbXp2/3YdtJSFSDwF1NYTh+EhTn8GOAyfRmQcxCB03vVBzgZWntoRjm9JW1bBMZbOhNJ
bn1+fUPcJ9jLj1kKflAlFwWO5fD8cvdATKrSNg1HdIRBCnIXZ7r0UQTN5K7l2MBQlqA7Zhq8xs6q
e5RfvFBOnxwcIYLGwjVhF0GVM942ldp+rFSj1nZhlABTmDNRfFcz1Zopjjb4pFVVnH023CLxUbDJ
u43YYrmKb78s6doimUpHGCarunpbofhP2jDa/SU2+8Y38vhnnLTOSek7THQk5hGmOkdX22Cmr6/g
/ZYCTssjYblkI4us9e0CcqfrVRRmw8XRr9BEccSYWuNBy8DYIf1vIrsInb2stfkyuhtzfjYuXk16
Ca6hH6qLssMaN0FBWIG4zqvQDh2lYKssw0M8gd0ZQ6l+0d0kfrD7QcPYuUjynZP2yieFusVpnBVc
it2xTc4CYEf4UEauvMoB47xdmKcie6BwNWzcPfdfiI60BzWHZgwPjbd6TLtOMxtRTnjvYDW3BM2Z
3aBP3xMA6srgRgGtYqxjEPJza18CkOo34q/lS9yuFpJeVA/I7Cnls1Nuv5SXuMNQa818ibK+DKKO
/p+nhlMQWdXGqXppJJ4BbtlFUAnC6e1I0Tyi2NVq6qVILPs0zVWz52BERw36/cPr2++F28SiGscJ
Rs56EVRfzQqOv4mnV61dHNyAAkWrkegDpHvooeY9YkFkHcFxpUcnG65Zq/aPxn9xdl5LbmPZmn6V
jrpHH3gzcbovAJpkkillplRyN4iUg/fYcE8/H7Jq5ogghxh1RN9USOpNANus/a/fKF3+ppeUcGUy
Xq4DfgcKeXr77CaXlD+R+uNEiMGRdAX7DtvL4NgFbbdpik5Q3ENbrqu4uufuC/xVdPLKMrz6HnBG
BvSaN3YoFufv3IoDbhaVoR6TMKzeId2tHqg/GzefJINworAq210FPtZ6VMByyfenft6YStZ/DvpC
WYPqL2Y7UCx3X6p0WKBYHC3rGz0P7c6Px2OWK/42arXKpTH93SkT572ljc7GKHz9KcghNv3uhIBU
qKBqoj3GOrvohE/CGEro4MPRzBWsnkQX7FCVyJ5hJNNG6kZrZ/tB87YtLWKTKplItHa0/+wtuVlZ
8PPRcbbe2A3hocDQxnFq5rucfxFUsQpcZKEfJbDKLaKVjyl5pyuL+rKimW3PMS2bS1eedtnlDcwx
lsMwtpn/cBK3s39t4E361OhujyTgCXvC/EsZ+v4HW+9qx+0y+ngw4ZudMhrVkyLGwaHFRFLeSq0x
T7jzx59FH/MrmM0wKHHPH7/A0VUCHLWPg24DxwdyeuqcunkwyhhtmBOKzW9/eIol+COzUFU2+PTn
A/Y9mWfQd+yjKKbvkIze2j1WwRShrLieruSmnozmJMuRfaoqbpDoFfxH2IDV0+0fcvndndnMDP4z
giGCuBe/QyYiRCZrzjkSPEb6FeSbzZAXa95Qlx8ec3TGoNSeuyvGkuQUmITABWTkHct2NLdGGeZ7
Az3XE6K53EvzwDpWklJuBr0njNBQqgan5VR+7JCCuUknrD9LrKB++xtgr8SlBmoowiXm5eKjox3o
fGJvDfyDwTSKXlVfUvJQdgavYW/LDfT9KBYneKOkzwGUI8NR3Bah4uPtb3DJh5nbJVxZYZvN9d0S
mR+Nogu7yNaO5DSZ38N8KLYlqZmeZlT5oehUZ6/EergvtVjZytEIkmV2FYWBqWxtPfoZKnJzcHzS
wRyriElQQpEhckv5YLV5uJmE6WytYJRXZs5lNYozgyETIKhSSxFQv7iqSf0MHmXCOMpB2QlXczrH
d+UkE/1bPxfWF95v+zKSFv3Mhh53JLzYavp6W0LcIGVd7GFGTpcyM4Pg21BjLjWMTfq9VYmEOjiR
JZ6RZ5JLBE+YaKEMHyzAQkX7ePvlX5uaJh1aRM/zXRBp3/lKtEkrq4GljKM9mP22xAz4YWyS6S6T
8nZjd2Zwb9nYKBhSkR5zf2w2dqVJOwvjSrfPxu5ziTD19k+6Nh8gvQOX0zemxDMW59EAnBio6mQe
xyG09sWgBY/qGCDDVH05cvUQRb/LV3EIaaNlVpr5tOUEszd5rEqfkrrLHqpy1q+RaXHUq0I7RWkV
fRFO5T8MUwNYI1lf6tiIVqqKi0qKk5OqwqC64VINRnL+JrU4SeBMltJRraVk345xQhJKH99DMVpD
Cy8aCw73UGgeKBZwJESMfz6UMCK7VvzYOaqoben55OohrhvTC+o+2wE/yZvJaVe1+xfYD6PSVsDO
RIeiiHTkfFTCG5s2tyrnyMdPUUKHiqvocbYRwrL3Yd7au8rumw3+ScXj6HTqjgC+bytz46J0mx1W
5koVgwVIH0u+kGjbqBwxkThqMuFjGsjn21aOpkes/UcvkGesVsHoj3CtfkvMauElEOj2Y810NeNM
ImcuDl25G1JIdaNFbKRdvG1IMnO1HpdvWtLyveHEKT0NTTtIJl3IENrn1gQqxJ3LAuga6tyL2Oi9
qJG7zTzk19vPeFkezs8Ib+j1KIaYtvi6GMg0uW70zhGjuPJjOw3WnRbVmZdlPUSsIWjemEX/ddAN
UrQ6Vduiakrvy7xVVur1i8Px9XdA58MVAG7akjmSEQcRKJ3uHP3EV7dI/bStkwzafzIKJy8AG/Pm
gpalTGRUyY3hHDMQcLeXfN1tSAtYOe0uKhyehUmjweSdxa1L7GaQuxbLKMk5DqpPsmav2BsiWM2N
2pAPahYg7rc/4rXxoHZa0BxmYf2cpfIrVmGVg4MOAfJXk8XK19CXNc/wFXZU7MTf4APXrIx3ienx
gBgVsI2TjQK3dHEcIXsD4HBYnGqUBOMuDXLHs0UZ/4l0Ki43Vuq3b2syUD82hV46rq3Vcr6RhwgG
ejoid/WGvB9r0H0dOrqO3sdyZz/Ll9uvZX7ss0KTXwm6ydKdS2EOnfPXMpYF1CkROMca+wuvyfph
K8+5crdHeb2xLIdhs8KdjEFsQI/zYdKxnIDydfuIXNePXJHH+hdUpQ30o2SCPyFS2YkJ+NCVr80I
u56/UTcTXp1BcM/BjvZCLZN+rZV56c3CZs0dl5oX7BzpyuKs5bZT0EdnEuKf63yZ2c1I7cSQv8Ws
Z5TdUO+dk9bgreymsTpNG1ESdEgpPEj4Bmh+RjzM0KqIB+zUCwJtzXP6yschQQWyNRYtTNwlLKxI
BQ1Y0ThHZ4zyre775TZw8nbl41xZGWzdFJyAQIjKlqblEtnJpVrbrHeb/OTYLz8XvhK5ilZ8VpAd
r10xrxxaDMeBhZSLo+v1m/wCGkKDxw0BJ5aj3WCANMapeYDCENyFSfYF//yHsm3GLc7RkYc/9J+W
zmXj9mS89rxA+iAswO2wkOY//+UHlGR1AjbF/rHLacwkoW2c4j5C3SN1aEmzVVN44nUuF9nrPQNa
M4gtcRbnIwaDjIgmj8JTM9hTg/LNxlFTn1PD3SDJtSfCIFPUt0WUdq6Jl9VPSbNKMklKNfxoOqEd
EXmhpB9H2RIhimvs73Sn+BZq5N1yC/ehSWS13JPXCzBPALIZBjghj4UOTSQQ0i40LB5UEnZ/L5SY
1PLa74aSSHRDEI+aKHsrk6X3E4ZrBHrXTVB76Mf0b05DSLGHek6hSdcHw+Bag1OcqiZTHybdGl6Q
o/SdOxp+e+CiRXct63IRk7eQkptejbX1tZpk+8+Qe3xG1GVfvktGAuvcKXJAylW4vh6YcN17BPRU
Ff+6CgYXXikRxWlAFCZBv2n3zg7FxN+rW2xDpED3FGuK8dASI3ngkITDjRZbAVc1DMdSb+rbWt4o
fkSc8QhH5lNJa4U4TimOnmoQVnzTHeFEXtiNxnOdT73pVWEQH/pmyL8FqBZzzMnzT31W3DmxSsh8
qhSfCbkcDr6R2I9jUQRfrCyAFyYpBvj2hBeAIUXfTGGMP60qCX7IcMA70ln4jtvEh+zblxphfDLS
lMoxA8JajPnAU5JpGLHTsUTk5ZA0cg/BlfL+9ky/cpegU0xniQ2eixwdkvOJRzEPeahkaftxMscL
NTFpoHq4qXObYM8c/wQNDRnvSzkqcolqjgTvbWJr0+Po5xIxPO1aPse1LRd2BT8FhrnBmbNYC0lf
6XYfttLRN7Jkx7wtQldTeoQzfTM9aZlufshNS9o4vtx/FgJXKezd0m9pGdBuVoOADalpbecuaaNo
DQa8sjOAuiFqhaJBo31Jaaiqsg+VugtOKFGrZ+LE/Wgjx/L0NqXxH2DYgIOzGyoUD+6QoU7fxJ1p
Bp5K17V15djQWi9vfEKBm8Qm9ZzTIvAkVJqOJykiWUvDvHK9ASdBEYAJFgiRuTi6TeT2HdJj/2gK
EX9Aza9vLacvNnJmBLvbE+nKQQSjm/wB1jEb59L/iVxfs9bZsI79qAfbKBzow+jNuDLKpc2Uo+D5
MTdEqG4B/RZP5BAHa1mN4h+LtJ6e5EnND7nj7DEYLXbz3rJT+wJrOlnk7xVdoMjAxmPlMJxP/PNC
hSsjj4nLFdoPqoLzFZPSfcJgJQtOE+HfWytTManIbHPTDawMZD7hgfyr6mjH6M1SeSjufvdFY5OD
7xesAYpU/EHPh6eycNKis4OTwv3ec4h9pzSu1shil7dVyImzh9act4HAanFvxBLIrLvQDE7MauXQ
oHrawzq3Nnga9RguZOOhltrmdyXJrCgsbBAr8YgyL/n80bopDhqo9/Dvk8krzPabMUqNFxXtwQRB
3djSiqrrcjEzHk0b/NNmw+Kl/3tkpyxUPwlPlH/SviUa+j5Io/mKqupEeXOruf3pro3H4uCOMSOX
Fx5pAUFqU1VXwclorcaVpuFTXCnffVPuSNAhg+X2aK8Y3GKiUrCi+UP8BWK6LKMGC2FiWfvSEZ2S
RYhrW33GjM1+ziNuXTsTxyfZFaJLhCubpdJ5kZYIeRe0drQfWzaj+8bHajHsffLV8khrPmJ4k7l9
YGXo4THyld0uV4eZQmZwha+jbltDutpSjtaPdR2HB1Hawwu78vCMIV7xp08nXtm0PZ4vm65obcmr
eykQh7QVIZK4vqKmdyB5r7yHy00QtI82JscceO5F58bMkhjnyMo8WprfH42o+x4Lw7qP1HTlovSK
PC9e+OxCCK+HSYV4aLE0R4ezusM35lgkcIqsUZO+hLZmuyU2SGGaSoegdkAtJLXBRLApnlu9CXZO
Nt9ixjg4oJvHsr5OcE2ApuJVrMA9OvnIU3JlDcC9spHS08Cre4bRkftccI9qGaMk/AKPdiCfejAJ
L2ttULhU1KdMwUA8agEK47S8n9KpeLCVuPhdIztISeQRQBihYcsnWlYeepaQll7ax6xXol3cmjI6
EGctDPTag+KXz6qDmALNagnxTTR6uwoVKUr1xj5F/js5HGmikyIF5qY+2Bm0hLIS4i1oaU0+kjZt
bq/Dy5ORuwyKvLlnMUeFzn/+y2WiwjaSd21aQKNjviX1vLkvNXvtZLw6CuArJy+SJ5S+i1FiCG/5
ENrHUsQwg0ZM8ONS91fOvis7GDAZgA99A0TWS7/yhrTMlNrKOhZR/wXPvKeh9LmnsORdrcJ26fff
HOuJLZODAWBgUQiGcRkbU9DZR2x67TtRxNq2lIxVf2DezGLVot6kuT1zLCxkrOdvruxUYlrUyj76
iMZ7itwjUVPvR4MDBwRmZmIbngiN/vH2w12pvIFUZuHo/IDs0YtxCSkPiB9R7SPsCvPjKE35B02G
eb7Bw7I95IYlgo1WJ/0n2ik4j3HHismUDlqY9rIiDTu7GorAtWB5rmRMXJtK/CgF5RlYDFDM+Qvp
CztvUzHZx1CSFOCEYPRQLtsrdcyVbRnAnbc+q0m45y8Oe9RsliCtwz7qXUxgI5q8fUoTxrWmfu06
f6ViA2GDl0ZnYm4YL1Zg7GtDyRXLOWIQ+8DfsR4zW26PBfpc1xdVcWKXVV3MbcethfHKduVDX97t
SXWnlEIPP4sYlhQeoY69kaYlcAaqsKNQan9faQHpWwWk2WJSGpya7e8NvKxTYmKvTCx7u7/9G66t
W/xQAVNe+8VL+mXUKIUyDL19NO0421q+kB6Ily22nUyfchDV8+3hrs0gGyYnnUGOGKD/xQxCG+aH
Pgt36kg5DZTW8pqptDe/Pwr9UCjmhM3QW1jUqFUUhL1RM0/xGezvpRydLMrktXr76gFCsBM+JzOQ
cTF7AtyTghKL4WPZsRzaIOgxAkfNIHfkw0Kaeogr2/QGS87v1CjK7sNoiP+Dz8cSmb0HiDagCX/+
Pku1ckA+2CpiKtk7rVW/dbKYHkYZUwcz1LXd7Rf7WmgvtkQATwi0r/1+HSv7syMrtCWj9CeZbkZl
Fz+Logw/87PSR+G0muJOE4Czl1mWyN7UdaHgfClp2H2rVTVJYFRS/KjKpfZhVDrhbKYwGPDZSZL0
vWPE6YdAN8ZPJSKYTxCrx0fdbIPPjrCMLwj5tSfcUT7SFFB3GSHIROw6fbn3JdWCQomso0MKZWZv
yTIBby3zIck8QZittWURKZ9iqIM9vXddfTvIBRCZbhegZVEGeqwkmb62TV5Z1/bMv3KwWAWnXM5y
K0ApJvz5LmqIunWLZpQ/ELdpbFWn87BFV+vN9EqBN5SmepemgyxcnhGiO45/abHP+kxWQfklQXRL
nsfJrpbtlrJZL/vuwVTb/kmuZfmDLgpb25RTDAnd8kytiywX/bRaYIjYYTWph8NgboIes8s7u64h
Bmi9nj8XadK8BRudPslofO6UJisxiAPRKncJvFvDlYUp78Z2Uj90XQr7viU7B7YOAnhXT6X05+1J
dQXWgTnJLsiVi0YcjfbzSaWGVp7EARt+1Nrqo6Z2yoNQA8W1ELnsTKXgqMWA7xDg/OUpRhhsy6i3
D9g4BBvBJcSti8B6NLB5+O1tBN9UbpuwldlK+Jznv0uWdGsq6f0c7SIiiytGW00jZq1yuiRTzv5T
9GFhr2EVzb36fJgkMWoYA2horTaTTxXRbXdhbsBybRNzk7WTtjGdXnkarDG9D5rRwONgMO8DOUg9
35TKN76CK1WcR+VjIznKl0YxgjupbeMVhOvyWKYSIqoZHjvU6QtDAsvK6onwOlRVDbij2eTRPiZI
wB3KfE2EdIkxcNSyocKtQqGAkOb8jchSHmRg0tkp1rUQlc7YbKEKi4MNfWCO5FV2fd0nK2XH5dEE
QRslAv1EPjoV3/mgQeDrTjPyGYZ0wBCaNgMG9cUadfbyvMVTjdYBrUEwqgueTqGMcjIWYXoykmh0
lVrfjylimSHzCZgdrJU6+dpokCNxq4KTA8Ng8SJ7Sv7CUfGW6ZREYPaK0Z6aK/gfKmhgMqPe3V7J
rzez8+MB1y+dWoLZzJpZfrhk4P5bRX12InoUO2xNS62C3khZPpZKMkiuj1z1sdLS6s4vYnROLHq0
bESBQ40pyzj3oDDBPDD7on5IquaQ9oVBaFiMUMUN00p6k8QmntyTUdXA4rH+0sC2tbe9XDTp1pxq
Hw/weqzfdCkCcRdZHkcQFuD910KeU7R6VF8AY74Zu0U39rRJp0kCLiueikCV3stjS/xE6hD74U5E
THwcqYzqjd2L5kUv6cG4sSKs94bCkbtBneNgM9OYI0GplfJiTE790vqpgxWYoZUPI2b6+Zbibqw3
VdEn8jZNhRG6SUHQKVFjykhLNhDPop5zgnBfVWs3G3hoT6uG6XvAeuvcqWvtR1OyLNI+1Kp7L3Sd
o66goVO4pTy1Jt1uBJS/ve9Rzqhc5Lj8kDyxRAAGKVQnXZjZidZi6Cna1G2yIptWqt8ri5w6Al93
vhAglDYfor/cfhW4eqWAFHYKgLnfB6GVeJmaVkcRKTnp3k10avVoTcR7ZZHPlEj+NytRKNrOB1Wd
gYK+EvlJDnBmQjYeb41WnlaW3ZWtkpIe+zuCc/DkXwLB0L2cFMZvfhpxc9phkhdtc6FjSi/C/2A/
mUXas/gH6xRENucPJElmhGVQnZ/CyJ/2iajuUlX0J51+0r5EAbXy0a69P2NOMkZCgp5wjjn69aOF
uZNJoaTlpyKuxa42bX+n4wq9MgHnbWmxjYAl/M8o89T5ZWrQSiEaIht4KDQ6W59Fei96aHlNZyl7
II5mi5l0uIsmKfgPvhwoM6gXNj/cChdHfhPl8IAci/nRtM/NGIut0wYhgsUu+G3AZA4LQ0/OBRdM
eym6Toj/GEPIVachE45HYk6KeF+OvCFUfZg5xppO7Nqc/HW8xfFW45xRNYLxSs2M3vcR8Rd2Mk2n
Pkna3z9JQe7AVAGCOEyX9VyghTIM2KQ4aRJxjaAGsmdK5IzfPmyuTUUGgHo8W8nS9FhMkq6LTQhT
xSlNTR8qmKVv6zb3f39CMAt4DL4Q7bIlwQFcKIyqXMlPGV1bl2TW/i6z6+fKl9Lfr68YCfYp7ryv
Hc7z5yH1ubWNRs5PnZl+V2JLveOu1LuWlhgri/hKVXA20mLPCBXgxlbYbE9BWrwJOqLl09oqaJxr
0T5IhL0SbX3losweJ3NJhc0ErL3sNuIJWNSjkPJTLCJ7x7QbT1yWa8I4sS+i+hU7ckuMx8KSCy8z
rC9lnEzfbs+WK8/8Ks2HDAPrEYOy87dLyyWC+myWJ9VOuz0W+c7O6idtN8RZvS8rTFJvj3dlCwPb
xS9pPkOZoostDPDNiZ0qrE6ztYI3FIPyVhKy72bUL/AbEsVTs8g4pTae47dHvgIfwu5D1UjvnlaD
unzUoqiswO7a6qSnWvjWxwH5OIwFJud2pnoJ/fqdSpqJaxogiknZGV8zLZhOcQkxObGq7KBbBMDf
/k2XOJtuO3j7zhecGU1Vz99+WoAc16OZs9sMj8QbHM1afknK4hgrMfnNiNeCcXyXyfaH2+Ne2SPo
JTD3QINmgdD8578cJHYjjUPsN8UJVDP7WI0iesThO19ZT689z/PzinoJeiBVDA2yy/PenPo0ZJ84
VUWk2dtOE5SCNtieq+YTTf4Sff2wVepxyLxYKqoIcDEiIrJXmY9lKX+Nlcr6Gmp0fVwoH6H+IAwn
7d1WR8nk2S1dwc0QcPX1cHqT2k2fGoTENih8ADhIU66hTH1G/pd4PcSMdIchGbhwGNSmfO+HWvLN
R6PyJlETyCRdmwUuFKFEcycfWy83NLTso5mZ4ZPTie4DnlLVN1+uE53gBak6TpOSPVhiqJ58o7R2
hE2Ihx4Y6D5BON4zixXjJYGYRSaP8KfarRt45ImSNT9lY4CTM4KwfnMqsj7cSjP71OO2XyAAyuNJ
8eS+4T7dszC+wPTJSCu2x+CH1Q14xhcW+RubgMlYgEDgFwsb603nBHnhdpUkvxetHGJlrEvPvA2y
PLUmjn46VRl2G9OP1U+pGpI0RVyq+U0lo+UztX/2A/qU+fl35xgfH1Io3u4zw33ZRgrTqW5JzitO
IbmA27bz2y2+6crKqr48vs9HWawgKWp7mDFpcRpT5AeWMFuP20SyI7mlWNm6LhcNQ2HfOHNs0XM5
i0VTDQNehwh4TqUfSKg1NM0rsa1deaArHFfsBLknzuRJFPJLJ3ihizAyw6zCJyj9DNOyetCzCbPT
tLLf+W0WcaR38T4YtO5uqmtlY8ixSQRUXuzJJ6z3WliZB7U0p03WOfFK//9yv4IWSvnCMQnWQQlz
vm8MNMx8o2ZB+0mlQDEbIMIPfYFeQarFgUyM+L6RtfJj1hs5KSWiWemAXp4ejA8oBN+Vdgu7+Pn4
jZ1GXQu6ctLD1v6ep8pXs4+nN1NtqDiWKkjnZByvDNp4K1/l0iqE8YAnZvtu6m/2tPORLSdMNKmt
q1PXV0bN5pAZE+bnmGBACsGMYbDLcNwRiVJ/MiH8phtZVLm5J0kuuA9rK8jcvAMidInhkcGi0Rbg
pSgV7w3fjj6SNWl8MgRyc1c1B/ae0urag51XsYNmzpyGzTDV4ecUfTd854pKBHt/oWobWrjd3kzb
EMTA3w1yln8UsT08tEGbyy75BfppwkVG3pg6OUcuaVaGvQsndHjktJR6cj8pdf5ZLuv6jlMz4coe
RZXq0WM2n6FCJb1naFN5NFoSKF3djgx93wYmqZ8FB5TY9HlJfEtQKtboGiJSi03tmw2Sb4VUGK83
6De4GPn1+XYQtOQ3cP6Gn2qpDW8Bskvd7eqZxyWsxFwrM0w+x+LkedVgz5GpXKKXcQ7JbDvtGBMT
JYrKrVo50jZx0KpAROs3RDmvAUqXl/ZZ4j6TA4B3ZrLR+fQgAL0x21KvTkDuwzFtuuKubrSOtvJs
bm2p8V5EtbO5vcNeqR/xCjLoj80SLfg481v45Ri3AjW09WyoTnPJ9mwmtBryUXRPtslhAHRT3g0K
wZKEEfWYn5VqB1hrjCtV7JVtkefmUggoPGsAFntCVNmtWWLZgJBxajyF9elZob9G277+rBYCDVhH
8MiWoLMD8IhrgFydBpqtz4be2dTlfXfgat9v2JgTJJXB9GAMw7BN8sTe66N4vv2+r5w1M/pjUSa/
QoeL3Ufrp0SJIn6CkQ5Ew8upYBna3/WsX2NAXOH2gwHNExdxPMDrstWdO9XgF0T9nMawLMiehSD1
tgW3kV36G/XkNR10z21SRnKy8QHQvSmWq33kp913SU1RAwzZGK6Qza4+PoxFzj9+EKnH57MNzDeO
ZVWqTpPc+9spMD4SqhS8UZzJWCmLrz4+nWeLL01lTLPofCgHgTxU1rI+dRB/o32ZkfiCOk9P3uDA
1hCmqmi9mzZRQ2BYKSAAN2H8VJpwDrYWP97eShTda2S01ym23FRYavNKQ9QLunT+qxJlMtG6Wfwq
tcu/zO4F9TaxjOCTWivpg51m8mNsdEnhapEMOyZmw3eloFASt5Sqodri8y8eDFSR+24SPXx8Kf+S
ijFF3EXwABxMH51KCxC9Urhc25xwxaUIk4k6IIn7/HfXqlKEXZPWJ/xt9F0kTHsjFUqOm3Cp7MIm
IBxsiurD7cVypX0z20uAZCKno4tjLKZLGxVlUThDffK7tH8gsUf/3Ghx9XGWTXh15dOaNJ1xb1az
S0Lb8VllPL6YzQM2wWZBzpcZlwfLrsZNBnRH4KQqnTDI0Vb2rytKNC4oyAuhVs3+EEteRT3zC4Rh
1CcnCpP7sjEyVzak4K7LrPbPAIsV3Nn1d01JIIXfxKY7ho7Y5T0WV7ff2JUzC68nWCTzJgclaVFf
mnh8oVFtqtnwHhKnFn11wjwhjyuJAOvNlVLq2mjAQ7OdFoAbheb5pDD8oOeY54QsJK16CpNKkDJB
kjkgeu8JfRB3t5/uyjExn4wQD2bXUGR/5+OVcaaNas/mmfQV0h/Szdwh7/Tt7VGuFKg4NXIQQx6j
el4KxLI0Uno4DpzDlEnvGjLetmgJjTdRMg33KDLQVk9Z5+lyN21KuV9zNLlSn54Nv9ghJoheDoHG
1aktlJR2TPhEoNu7CfETYqMH6Lo/K8d4+v1H5pI9dwrwtsC6+/zFiijnhVpWdXIy2OoF+Om9UCvj
5Id1up/8tnUbLpx3gzl1Oyc0lN9HAkHYOQ4gRSKHuAijVTQ/yskLxq7GKUrPL1vaWdXcqhjRkdx+
1GuvlxN47hSy+4IgnT+qFI1S7Q9ZfVIcabprC2z3XFvux5PjJ9EhK0ciAmO13Wayv8Z5u7KH0txF
sAriCWSzvJVZvmH58RA2p3y0gjuRNMou0Pt2J1RdnPSuqe7MPlvjnF4flGYviDhGpEuiXZ8lgaOn
fn3K6YMe6mrqUNL5+kFIZb2JcuqPtFhtMl8h5dJwZ++dBS5IVZeKAcIHY8jBRXOq1YbLgJ1p7VsM
08qDQ3wzaV4GmTxDPNxhl5jf9XL/NYUYtYfA8N4w03wTN5J+H3S5cd/bZnLSQk3agDjE72wjH1cK
hSslCQyxOf52Nieg+jyfEHGAeBOcqzl1ufkRkG7YUCTZHiGQa9zbKxuLjtkxlAc6MHAeFyvb76a0
7nulOdE6VZ7qsIzcSJODL2TnlPd5qMSPY9qlNEnD/j5oi2B/e+ZfmQl04eGAYGHNQlvaxOlVR82l
F+1JhHCDAr8bd12ZlK5clBJwsYmhuYrfxu1BryCmoFpQGmZ4EtPi5UOrTp+xRfN6TSRlhGIqKTkH
tUniGfFVxIfFXlOn0yZNovYeCgQHdZuOGzVFVdJmAh8pLGf/zk3/r2/D/wp+FI9/1VvNv/+b//5W
lEREBmG7+M9/vy1/5O/a+seP9uGl/O/5n/7fv3r+D//9EH2ri6b42S7/1tk/4v//7/E3L+3L2X9s
8zZqxyfxox6ffzQibV8H4JfOf/P/9w//8eP1/+X9WP741x8v37Mo32B9U0ff2j/+/qPD93/9AaqE
bnaOnP6vXwf5+2+8ecn4xx7/T/VL+o93In3pfzTR9X//46Vp+f9T9X+yZ8x6c+RF9EJZPfyb+U8U
55/0KWdTmlksTlvvj38guG9D/uifUEtY/K/wCpvd3DhtCjH/kaT9c46uoiSf40U4xCnL/88PPftu
//Md/5GL7LFg/2/+9cf52p0tkTihQdS4LEO+BoY+X7tcmB0DNKk79KOibmgzCTKlG/zRJyNZ2SYW
94m/xuLQgLpPE8kGkTwfizhzVQmaqj2EIhgedGXM9lFF5cuIcnwCUia0VDHwN/FVLFjICj0BF1sv
ZNYR6ufrFOe/fLS/38Wvz35eDP31e+hF6DMubsHoXVTkRVJpg1Fl9SHnc3/GcBgyrdMmv2Uh+tco
XAwRx3IwU+LOX+AXeEBG9YX2KWi4I4fJpgoHWB6DqUn3epvQEPQ1K/90+7mufFP49Nh1OA6OYxdm
7ZMfWWETNmBXktK+xXYn3Y1ak3xGevZ75tLzw72KMWZAjkdEIXT+cNCrCWuWOrxz4jwh/hlXsecG
l873v/tEnPfcdQlNfc3PXsycMYV3phYTw7Sm7tHWaraREOMmmuI1h7LzipwnAtrgSbBso0vFQy0+
1zjZlZ40xUTGW1+5XHwDN4m1BC7fVN87XfH59pOdz0EMN7kRzpGSs+ElepYlGdgZh1aZZKU7xI1D
2DOEVMKFsfO/PcqyZGOU2TGGw4D+LbD2fLD9MgfrwdKyxrDaA9tA8NOKtIybnFoFFcZAOp4EWjeo
wabxVedJyQt9zRz8cngKA42vxzaIOn7pkdA1vijwQekP+lSMP2WtK7dtmE9HGbvzu9HE+86rktj4
oPTRWujT5fudh8aHA8c3sMYlJaQtsjiGrdMfZKe3NpyJ40GNtTXXrfMVN39FRsHEEUqNOruMzXXL
L+83TMJabbOuJzlZIfcGAcpJq0p56zSwX29/ymtDIQpi055znuylylixKbD7SurpLmi6Kw9DvR3t
yPJqont3t4e6iMOdHwv+B/OSXjFLb1FuVb5cJHIZDwfSZlokqgjqx66ytnHaFHeI+oe7Pq+TDfw4
fQepUN/hbV1uVBLA6fXRcvSQSJDcV5iBvZXTWr3rur58VixhkDgt6g9xNzpuLFprHzpZ/U2mZFuh
LVz0ceZHgOJM/cQKmCkf518GzTwEuzEaD2k4AulYyJ91T45Je3c5lKPejdDKvovjqKl3qTxmL7HV
l7GXpHrzoorWqT2kFdNdFVqSJ5lWrXkOAex/l1Nn1dT/+yT6a/7YGPCSYIXMko97/iu1NlJbOgnd
wdar5B5ZUnQn4St2uP09r60FJswctUb8ACXH+SjjkKuk6jGKhL/7tiCQnCqxfXd7kFeA5Fd8bn7j
yOPk+bYEvr8ETa3E6XE6YpTQCqcWfiV2vbvMTtsHFKP4l2fcZOoNZpX+n8wUXbj8t/JoxHgteTG+
rb47miay2dQKpGZnxqpDfhV504HrE+ISYlKmRm8LrXY+OU4bP0NCjGn8AEAfheGb7RYf9fZp7NR0
5cGuvT1wUKCpmaNBT/X87U1SxMEwvz1WWv8cKmbzA0FztPKNLu59vD72EbYrMgLJW7EWW/XUkFIa
FlWPdYgaklPf0saCY+qk+yYusb1XFL/gz4LA9CR8FTYl3ePcs5KyJ5YeVGfwKvypvsmjJL6FxB7B
ObWa6WQbNcEPqkZx7WK7oa7Fl155O1z8KKaoktgEl9Q0Ja4GC8vo/uATirVLTCzTU6QP29uT6wIl
nN8OpBX47ogvMfZZvJ0gxrs/Y+M5VAgqGncUJIvBlpXH0/C/mTuP5biVbF2/yn0BdMCbKYCyFEk5
UmaCkAUS3ibM058P7O7TKtOs0BndwY7YsY2yMpFmmd+0OeZfyqjkWmBbg66G3eJW5cYoVOPgICIC
s7VAEvZGUHtt3hwlonv8hdAsOAuAsggjhTnKpoPjtf1dmeXvPDA7N4qjVwaxKaWtAr0asJ3z56U0
dMqEKbPOu7nZuolWbBqFN+b1xb18pQnnCEa466lzMKPTDR5Ns5HH1bwcLOkVJNZoc751o9FJQS1r
kbUR2pTtB7B1oZvq9s/XB7941nB4odAB+AZBMh3LrtPBzUIaUwZQ/KCVErljF4uejZh18xj1qbjR
P3+B+J1cUQwGIWpNyCAy4jBwOhhhN1Xl2HAOUKDq3/RazXKnCkvB/pQMnz661hb71smAfFArt4pj
oSO/4lNOzJ6Huc73U2kMve+2GlT0zjX690UfN3XYxFb2JYGE1ISOrOunDp2fN8QkNIyyJuJPW1yj
SoPequHNiaS2g1lm9RNiHJgutxVntSmy5L2oWw8xRvoqdaikikTKZyj1jyXWPpOvdosWhfPaXAty
Q8dbDAGb8UcVW/FXMRjxF7mMwg11Ohw/+2GJ2+3k6jRDvTz/ZCRWXsOEFx0qJBPN6RAh5BidV4Kb
BwFVAjesJJp+eVNjD0HaIFPh20lHp8Ck7SMeLAMOoIVZbh0W2tiNfuUBXb9fhJX9SoDF/kqS3iRX
M0YdLTtup52yzIkROFWiA+tXraHep/UU2b5nwhXMNAIzX+2t/FAUQmRBo0p9RJo4dh4U1+y+5JjJ
jOGoItUpGpAfYc0VtB8iG7/WKUm8n1GrLJWvCG++b91k/m5qozH5AHQIO17fn+vFcr5l1hzHhFAH
LOS8CFgMw5ikwrAOSq8+GSYYfNSad9TjEp6lzAyc+lbr5uI4skl5akwyHhO48fmJsITl8rY19kHD
f+RQLgtA9yZXhyO9T3EXt6mEUKvE+R3f2M5vhH4XNw5XGWpm9CVobSPVeRaQCHNs83nSlkNuodIr
atQl+iL68fqanqZaRD0MQlYAJ+PloTunB/KOQnKfa/WgVIkTDJhtg8Kq9R4djaR5q8Kzv3HDXZsV
pVRCUQDiZK5n537yTK/GWFs9RN5SPphYHQdd5Oo3nvCro7g8glyFKN6ee6OOSeYVaAyrB1dm8i12
M+oTtP38Rh5wbZTVR3j1JUG98Twc6ZY4qYws0w6JoTf7VC0Xv4uWW9BICjMXG59WrYPM39q2pOZ6
djFjczs6QPyUg9FSCghz0Dbvl7K2IXdAv5v3g1OrsBy9gre27lIjCg29TX8ByYMVUwMEaA5Dz1by
U4k6FpAVCx5RbHInBfZgopO2ZGX/2RlnvBDULJsqtL4K1Ln0ifqxn43QJMN5rqZv3gif0rcmNXpe
rDyLghY5P7lNExwQHvWO99PHO1VpQkiW877PdcS9h7jQviiZ5lXhNEaqsun0ifZIruf1zL05N/zz
FFlaP7Gjsd16MnM/J32qfugrJB2CUVsMPRTOipKMpROXvkrlNfJ7AzXYQO0d40c2mN4TPAeMF11b
KsDWnax/0wwxZBo5iOybrBKtCRS2ZBQYiz2lgcBKbw5Kd+IX67JonyoHKonfxp3X+9OkZY/lrKQf
dK1WPigDt4MPbFkdd7YYDTfonRhifwaN1fQNyD/zYe2GExw3o76EZTxVT03mdPPRbiA8+XVVaOGC
z0EZmJTUCsrUqjkHPSTLIZRNS1sgTl3naydbvYAB1amzr5hRmz46jewOuhG3CAc2nbfs9bxC66LE
r9z3ILvHwVwovI1TJETli0KfUAsxRvdzg1kWnE9aXe9FazXvxGQ2hi8A/VQokKuieOwSyb2ZJhUq
xfDn8HuajMH+EkfjlOybqMfy1jRH8z2QqvxrkTv9t6qLxBzI1pjznZapAEHzuMlCrTeHZeskmqvQ
nKW46HeOoQBNUByU1IRndWmgTlr1blrATfnSWtLnVkOcwLewdpC+Oc2z5YvOq54bRcZaOGNBmMD8
HvPeb8okfkz7ZVG3nq7k3zprzqN7Lc6dZAMoy01DR2mLRy/3vCmkfLp8mhMMNmaJq5QfyUgf8cSb
+mOLns0nib+d7vd2737BsXj+lESp+XmxlfSj5lRW7XNGBgwSaalWgZFIUOCoxIrPddI5ZdB3lsa7
OCQyC3l8hzGYYWctb9CXiDJ6Pu3Q+hH1lYIVAn/gt4ngHV30qoKzljhet/VyV8DeyGJL+PmCt4lP
L5qnum9QYd8CDRh/FPz/H8zUdD5EDPTDSvhiPixlCfdv9DRla9XxzAlwvOFztJTIOdD/qJ4zl8I9
1sgKQuo4pN0J7OXBDyxmloamnhQgNMqKl2o21DnI8PrqAy5fZKBQv8MlNdO7T1NpzW+EWnZJONeF
m63iummzEWpNACSlzPiszay1m9xTzHTL69zFAdKjUbor15rkT7OZ1E/LUCdMLsmmL1gOVU+F0nJs
C0w1ypA+MGLjcsgRKwUGiAZnD3KpKWb33q6VmXCziEo/U5UEpp860FYabKm6O6eMrDdEhkNg0np6
p3Zjl4GXG3V0/CbO3UHNsOEKvBRgBxxpCmuBN9SAk9tkxPgkG8YCVIzhYbJKn9DgVBRaX9AKTqFX
TnIYHB8hcSWlAOfWOMl4baMGkW5Nz1HaU0mSLsIahwwx6umdlTfxA6z5xkKCurZ6zL9Kyie2gXuA
r0mJRA/GgpO+db3Seq/lyZAd8kEVHR1+XT7BKGppDHtd+77Qy+5BVMqgkAo68kuP9j8Sh0aWPhRD
S8yXZib6bmBmJpCDTu02u2hII9SXRdx2R3d03IWdszqqaGpUWxsOYGKHEKLt51avuA1kbE8JQH7G
8KMslV/nDlu0rcmzgVMtHKIoyNLSxVZlSBRauCqKFqpeJth8WZNX+0C/tfmYW/MQb8va7MS2aDCT
CSTph0qVoDB+DYWRFrjueJ0XCLPQnwX0mHIzAtRmObW0fDebyzLsBqwxTfpypnmobYQgwwmYpxUU
06BPPgrL9dYWUzmgh9hrfLeBJgw/WZIoRmDqJuQMx+ZnoYry7VQYog/afCoPSqaXcSgKm+1gxnnK
Y6ADl/L7iFNMF6XSLN+0hVkHkzGOc6BxdCbfHXuPEtSciWZTo+Jh0Q3AX86PEogWSMSu8vFmM3r3
dVOb+n2yTM3sj9mcfRaW1D/pq2S+r0ydFfv4ymf42Xg2okD4asf9ZkzZxMCQzfTdWiNMDiOqAkNQ
yFqv/CGdujIgt0m25iLoWOquVPa5MQzublEckyOnTI7Yw8NS7TBSXP2bpdereq1WDr+pbC4fJpN3
3fdGY3xLwJvmm34QiPuSZWUWuQq3IM9M72BqkMRDA0nWXNItmFv1aYShBBq1kdX3PHK4kKuCnnkh
e3Tp3a6dH+asSnoKhk7JB11dFjkgzfQrVvviLfF8h9CRJZynsW6Tj7U+QR5Av2C1PIYL8mvMDOO7
lGb/M5GLCim0qNJ94vQpyA+8yN+jqWcagVxtUMnRpnSDG6vzOwYy/sulHqAG8VK6hZ91o8ah1qby
XRTL/IlEYPmxOOb0s86Xrt0krZp+krHh5qFrTtaP2ELcKhi6pEweRQ1VyHe5/btQmVP4IvWiF8au
Flb/OKWzp+0oUZdGkCYIynNuhbkEJuENDFw3ReNbXdLZ2cmpWYrQRBQSQRA4BSJwaNy+LZbeUv1G
5a3ZNM1ArmS7UxQg8pfctZUzGoEh++J3JAeV2ySv1ZbzWyk/W5joz1SZ5hI6s2krOy+KGn3Tlllx
P1XQCPeDras/XEV6jT94E0VNdYmqwocVrD8W9hATjXiD8pVnPtH9HBvWXVMaykHjhFoBxsTW+B6d
CMUM66EeJsDPffdhVc14m+LHjk6Dozjl1lnNE9GoqZyNjg/UnesWL7JrEOj9yaxq17d6t0oOyHhq
b/IsGV0fb0Sx10uQ14FRa60WxFTeHmzoz55v9HWUBAsIYIoETr186VTF+AhjTMF7WC7Ls4rVB67z
SdU3gRdV+eeJQOqe4EaonHF3+A10IlK3NvmzQ+3Z694ZyLhnm8F0U96ZxbVXMncVefslNdU8rOpF
3o1cSF8yuErxFsE7Un+hLM7HukirKrDiqM+plug83BnA+Du1mLtHUWFZG2Rq7941NQELGhi0OBDF
NWdKmLL2tkla5r87R9RbvO64f7rFbnzId+ObWS0dhFmowgSRCtQcr6Bxm46W1MK4W9AcMJE0VH1H
pFkfWsQDX5fMVd4oWtSPG5Sm54e+n/MnhFj5Cl7e6+uea9FG0yoBsSavGpRprbxo1ENGzYVtbDLJ
Y4HswfuuUrk/pd4nVRCNkWZ/5fyk5laj4sA16jXi+xirw9uYyLH1x07RTa7y0fvUo4qbBHZR149w
bJrSN1GTe2rH2Gg2hOKaxS+1p2dDAT61nZRsWraUT+pxr6V6FocRTm4fyzSVxKkeHuHbmLAcuD7B
UcZ9nM0oA1N+pePRZP33uAHFFtqtob9fbTOboLOF2gUD6iswT3Be0HzZYdq3x9La/cazDkMnsl0l
PTrgIqic1ulQBgiEoxXheHUaBY6Ie2PrCiX60RvEORvXHqdHb6K1FID3Ur6pFL1BzXXyMc7d8lti
SPtj1XX6O0Bws/BRnJi/DUXmiNDoK2ls9cmoPlZOhWnA5CTKxoRl9nOkvKn4XH9K4WPMlN5p0F7H
wFW7yPGlTbYReJ5MtaCjzRT74G0VPYiFqSANmw/CCcu5AIc4Dx2Cxt1oRHXg5ZqJc4ua1sfKzb23
aN9RD3dGq/rQC1d2N9LOyzodxA+qrxoIBMSu7bMegu7BjEzmxDqAZNA3SkSmlvNG+IC1bxV7LzNc
WC5cY0ht4EuGm9xplQ7pZk0ZS906tBPYZmOSi58CZr1R2Flbc6eFHVj+6IZAjaP7QifvdBSahlqs
94t7aIap/ZpDcLaQRMcUaqN6WQr1D+fzp6WpkSqNGjVP9yMOMe9fL4RczpTaJxp4a5UHRcHzioFE
HGOc2sY9zAWpwiAK8Zxns3rj010dxcUwBL4wf3lnn64cmq6uI7RpBs0dnhuZDHeaIqbn1+dygc9m
BBBa6AXSDEDe6hwkpY9UE7No9g5eS9oe6KVd4LJl2PJHX7ne93ZOm89CCF33XRrthI3G7P7qSXu/
CuklXwayNgJ0yIhvEiKA73jF9ekW6g7WfIaR2e/kpLi/iQnbG9WoKxsBpOqLyQnaIEA1TjfCSFbu
UqR1DyDP658OvjpKGKkWmhuVRRQXEEYiF8ItpyRsDSg7u7nq41+vr96Vb4QKIlBgym74wJ4fr6yL
Zd2Mk3uwbbJ8bFmsrR2Pt6SDLg/xinaBwoXhx4sQxOlUh2So1CzqPGLEVWMKIejDhCf9HsWpW1qI
l3XTVdACtgbS2EhinwtPr3V2M1/YDRb2LTuXNoa/1J56FHhCAMu31F+GuHmmr6wi5DBa1tDqdfDO
67//ox1freaSRA/RgRgG9o+aF4E6jPXm9W91Wb5E/NDhilr1ZGygNqejJH0pe3C30SGZ3fqhooD9
gz6d4g+yGO8aL55ubNArS7kqWK7CvwACWdPT8epxikyLB+rQxwOdLrXKN1TG04+qQC/e01r9rhpl
e0st5NpaAl8zICxQ/gMWczqqakFyicY0IoGlEuy6o7rz9MXbvr6WV0ehuojwL8Qe/cKsw9NnxGO6
6GCgiE4ONm6Sxv3r/jd9SfiDK0lqpaOdt30KlZYOHS7lIGmJhIupK1vUGbIb3aUrh4t6PSpN9PNX
Dtp6z/yx+ZKmAEDTJsphMnURtLDZtwW2sHtrKb+/vmjXNsQfI52Dr1QLgb84YiSvhshIlbJELNbi
CCO8VmydoStmP4+U7sa+v6wIs4zseMJBwARAzk8nCC4PGrPGMqIdH30vsT76brZwD4VTmJ/GAYB0
IB27ObY2/mmvz/jK2mJkC14PlQY8Lc/bEnRgoESgvX8wKXi/NTTU+zRConDoVOsGcuTKjsRAhrBl
hUfyjq0/5Y/PuAhjwXLNiQ5iaqNt3jVL2E32X7fNCaNA1hCAAPiEzns2ivBSR+smUzkgFG6FQk2X
ULWHaf/Xy4a/Mwqiq0YIdb2zUXolA4Izi/gYGV0eYPXtbYqqNd5U+WS+fX2oy1eUlxMc1IvQPU/M
WeMoKovUKiLPY0JGvBNeVm+n3jbuZ8M9QEFt31UgPtGSJkfyVZS1w9eHv7iT6UGsexOcACCrF0jt
n18NA+kJR2Nuqy6GcglboNkubm8+mHMlg17V5t3r412cBcbjE66QVmIHDsPpLtEsPJdwFeZ2pJ52
0Kza/NHnldikE6RsZHKj+1LP5ZfU7vXN6yOv3+wkbl1HXhG78OCAQphnr0GK1FFXtmZ0yNMqC7JE
mR9Rck2DOEfh4PWhLu6ZdajV8wn1qZW4djZUR6gylrhl4RQyz5+z3Cm2EnrNtphjSv49rQ9oE8ot
f/prS0uIwvuNCxuoqLOHp800kmdEHg6xln3KPa41jKPvtGH4gWjnxk45+5ldZTeC5CvLCpeBfGCV
/YL9dTZqN6i5Qv1eOTROj2pqVGPVmyNwFunm36o5kaPjvQaGhceCR902TvfOCEdmrq1ROTh15OKo
Yvb+jDeuP+rxLT+9i8tsHYrHaOVNuCAfzoZCow1lTOq9B72R9TaRw7wxFvUWU+HaKPSK6RRicYF0
wtnLp1A6KDkmfLFRxyxH6ZGAHL1bAhBX9gXAMiISHK95Xs9H0RYMt8oyTo+qRBUoy5v8mA6Tfoc0
5Gq/1acbSlDj+yzpmxvn4HJv4CbG5sDKmd3BPXr6wWyjAE89yfRILdA80pUFG9xx79LXwVPmxlN3
cZGuh41AD8zsGvKdA/NtsnuVUAJxgNHQv2v05zx/mOz+btI0iCbU++tyl5dZXdNB7SbX5xnz3Bun
4fyLQhxFrQfSEOQesuPzsMzI6mye8As5uHHTP2CLIO+RRnRuTPXqKLyBXKIrpPWccrn0I1QqjRZz
oUzioamm+i7vrVtn4HxBmQvVb8xHYHYiHHKeZINKXGgODfFxMBcwTdlig5jjCnXDtI7ywxy7uDpm
Tb0dCjSotnLxbp2Pa79gZRroEHGhA6hnGWZHlt8vRYrvG9YZX9Ohdr8YOHUJP3U7JJfA2DTt3qZ0
rYXZUlIphoMR5X/5bqzLsFK1uArAzyHMcLqJDTcBf6hHyiFz25rmFDCk2I8LXFMgP3jiBlv9/OlY
RyPSRqsEgVq28dn72GXp4k2LGh8BzZbbjPjDDUwRiS9xryBU0XRa/GWuPO0vgR7rsKB1wNMCloMu
eDbJGnOUIo+i+Nh53ESWvnR7txzTp5d38a9IUP+V2nRCh3qVKvX/IwmKT2Zo3kpH/u8sqIeVq/T/
7r/ldM1OGFD/+Z//TYHy/oGo5VrQIFpZ64f/S4GCHEVcsQYxBvZUXK7/S4HS/7EqYEJzoghIsrte
Cv9mQOn/eDGGWZU5PX1VxTX+hgH1gpT5TyTFH7HSK9e0k/wTFtS5ZxAWrAgaG2N1nOt0RPuLyg5m
c+bd1NfOpkMxJZi4oO4VkwJdtWD0i9KEGWpOUfi6rmT7qch+x0i73Ej3T2+Ll58F19VYGWMwtuH0
nh5UJQcmYLcudqtZroeg6Yxjni31xsCv7l6ARtmi/ueEdRePmzG+Wd04A/6s41ORJCshy3vJmM9u
K0zBKc0qw3LMHBrMmNylIW0qENle1m6TZOy2Iu3kYagmhe6G6KPASuN0M0zE3JQZS/C/vUNjKUdj
oaABAoq2PSiiLA4LkjQ3Djw76I9o+F8/lqgAj2w+Isyd08XKexf2o1Mtxzalj14LukFJ7bmhqZS3
vJfPMMj/HIsyLbWs1dKLTON0rN6kJYyP6XKMIzvZNJmwt1Ekug95ly+bWEA5F2JOH7TGXNFFcfqR
P2K8n0Q+3YAFn16u//ohxP7rB+KOOxcPEIipV7nizKR187NSF15g2bLelU2mBJmL8x2KZrd8aS7H
tE1ybyophK+rat3p5D147jSbJnn0kH9/a6ZlGbqtbgSzopfvDPohX2LViW7k4pdfl0FXNKJL5Rpi
1tl17pVpU1mxLo9GJFVfNHO1z9seeitmpvs/rrC3/zz2/52Jsa4pqRSuWmtqhcTKeVAOYUc0i+jk
0VGGYo9i/7CNFecWW//Md/xlGAZQ1/ok7C+K8afLWE/KZCjILh4lT/FdBqT7oLai2kO2icPCy+c3
PWCFOzxetJ09TyJcv+y3vsIGeqDx+qkTubuzBpBcUtbdwcWDN0SEv/FdqSfbfEiS2CfciT69vjpX
PgSgzVX8yzJhp55zGR0o1lPk1tox03orTBXXwQcc8tHggXl5fajToPCfKwTpb9VohVYA4/t0hdqi
WBCJENrRmCD6zTIvtsBbbvnkXo6CWQwMe0q4zAnWyukogBxmJPsN9SgRbtngGZf4fT3fot9dHQWV
Q94/wmni3NNREozL8GZ11aODb+Z2bqyFPjZupTdW7PJsslS8oasmHOyQ8wh3XhZTi+SkHm0xWOg6
ztHyvZAiZWvVymNimzX2WKDwlL3UYmBEAE7GTTO23r3jVdWdG9Ez2Ni9av7KynKqKa2pYx8qC7zy
uKI77CN8zxbrurhqfJzWCBlttweOUUp1etPJfjZ8oDk53VCjHD4PlGKGjeElPY7h9eDu4wwAeFgs
Q+UhoDQlS6DNuuIGKW3TaVPm81NdGx2e6UXTWaDExgSFl3aJx22DkehBCnhcQdGOk7FpzI6ugWJ3
+dYql+oJAVcT3EOX1E1gdbV3C217bWmhCkMko+dJ6+zsBkonvW0nCapyibQfRloPH3U83xAIrbVg
GEfl2aRNFbz+Pdc/8zQuIblFT4F+GlkRlYLTXRNTe81BBc5HJ1LKrVp6XQhSwA0qSltB2svk8Pp4
V+a4Cj6vFR6KZwTrp+M5bbxqiDBHzaxGFJ3G+V1S1JpPKzkLZOWAhbKQQX990CtHA74kdyENKXqG
5wVQMKmUjbt0PqodSznPje47uESGr49yeW+tXQVrxWRTG2R2p1MT+YyOsJynY1+1zX5u2+ijwD83
qOa++PD6UJer6Fp0nmCCrqxeGHCnQ1mm4uH4FTXHqYbQC94NzGGTjMHoWNl9CqDgjjBZucExv5wf
MQReYNjEoRbANE8HxUR78pzJaI+d08x7a0yroJd4IGu1++716a2b7nRTrtckxR3yunV7rr/kj7J4
HzuJnlLjP+o6sgF+FheK7SutBKFQ5qCHQIm2cvYHJUVHFn/21LuxYS5PBbV/naCfguTqfXk21Yom
sgVuozmiAYdvvFBkQN2r33SK5mwL/Jf/D+OtzGl6HTxCVChOJxy7pmLC1GmPbakU+87JvX2vlWVQ
DCgYgbmybwR1lwdizcxNWv4GnHByk9Px7LUkOFQmfkyjVxy6vDI3sSI/vv4VLxeRQfh81JgIPuhy
nA4yZkVhNuVSHCOHOnxSNtojwA6A9kRHBy6jcfP6eJf7ExYxH4skD0oElZ7T8RSwK6p0leKo99MQ
4JUBxqKN4rBEsvH/MBS1OcqqcCfNi2J1ZrQTIi1jcRxs65exQDqOG5zt47o3d69P6koiQERKZRUd
VkBLVFROZ+XNeJcspmiOI3XD784soToZNHJADOSx3ETVVKZ+Dx7R8PVKd5vNwBb6Th6ZfY3g8N16
/y9vnhUus6bYKHmgYnAWZSD7YGI8aNVHfE2ife+oY0CNsgvR/BJbPKbF15IaX/j3i7CmXZwOCNaI
TxmnixBbFYqTTPo4WkmzT8a5BzhcLw/5bItP3oRfVEUc8Kakpxii8NFjJlp2d7LI1O3rv+TKnibk
We2/LGT2Li4GOY2wZZK0Pda5UuxIXnO/cbXnaKITu0z1jdFeOjunFyFJAo3B9cNjyaCuX+OPixAy
hlkbhDJHkvTxmdIeT2NNt/ZnTERV+YVS5qVfjnX9zogW79lKE9DVKYH5jQ9wZdompURuDPbiZebr
Dt3i1bkYj6PhDPQOrPpOjeFbrPD6e8euf//1KtsOtUuE8jEPQTj/dNrjbPZp3EfDMXEqb6vZIgkT
q7Z2PdIKKJwU8dvXx1tvorNlfnmwic9XNaxzKIdZClsFBS6PFBtcPzYQToWH0N14P68cHeRvXHSc
AYKtAiCns3LGsjL0iaxvSmW8TXBAP0jH+ah02qaa47tIw9Py9Xld2z8ECdyHFIQ5OufktxQ+ii6U
TB7tVKB+P0aLPxlGBxZ4lqG5ZPauj5wqBMbY3QOT8XZdhKbl6z/iYu+wcVDgXWFvxF8IW51Ou1RF
aouKadcYwtylA1zKrMs1P+IF3rWN8+X14S6+JcNRyqMNSQufFsrZcDE6FX2ZKPIYz6O7n9MUNlKW
/F1LncRxPQ300ukbAhsknj2dVKEbs6coszy6WZWHfWFC8/GWW7DBix3zMgq9NEB7K/3qrM/dw+8A
ZaHJo2bE5g75a3D4iSh3kdOkj43ZPHuVcUtW8fLBoaSNmglVSl7TNSQ5nVqaKAME4XY89gYo79iq
EVIkY3mnyUSWPjp86Q48pUq2PK1UD699bONR/QVec74l6XJl66BIhtwyemRwHV+qh39cf72pjEI3
yvFYRqXnQ6RzD44iGxjBXXtoRP13/NuXr0q9CdMiRiSKP1fIqLyiSfqWrarMuf6toVby0EzDcIhG
XYazqMShhHF443xchC10S9fOKSxLukZk76frPQyR7CloT8SaqLtbNTIitj59KJL6ljfZtZG4Uqlt
UVSh+HT2iqpa4cneaNWjhuFasIxkwUD0802NmPuNSV3IcPE+0sIkfub+Bn1y3s5PY2OYZy2nTDCv
nD+kAZP9vOj6NgGhupMwtT66WaLfRZWlbltPMSBY5+ZbSrfgrIdW279+K5xOHeAcPUa6cavakoGe
5DksFalQszeSJIEn56CjnzSYrsJC2qDqn96I5a8Ptfbb6fCD1zi75kH5FtAu4uQIXNzZKZpZ+E2U
fCt6IXavT+rsev/XrAh51xeFruaF9LmwUtOrCoZShhqG4ZJ8Uo2k9AvVhk2PEFoIuWc4RmjLFG00
793Za//q6fz3T3B4pteaKSo+p7u3WNLUHWsWdoJhsSe5UXc9r/aN7XR6qb+MQsiFGB3vM1f6uea6
mSYRCJCRtqqj/PIaPd1AV6tvLeetUc4u9VKfcCaKZxp6ij1/maMh281LZ25nKDUbKxrkHrXM+M6O
DXvbiN4IGs1GhjSaP9uj8sFN9PzYuGIMX//K134V9XduwDVZA6NyusJqpxZygLxyTOsOx56ZjlAD
xulG9fv0qfnnCtOEpw+mvwiRr//+j6s2tgCaNkmbHDWStW0lK7wS6/dW82AWtYlokX1LRl+/ck6A
idNWoFwCPM07e9xoxg19aamCrq2Zb6CLdqGhNX1AtQ4tmkYbdm1SaL42WVoIHc4M8VzL38VaLe6X
qcsCLRbVJmFGT3mmxLtldHqfDr8MhV1agaINVWAPUHN5X7INdhlwVb1ZDSTCWV9h491CZF47jCCl
QWR6AGcJdc4Cj3aKl6r3XHGcxbhsxkV1g8FduaW5V2wHNdX2RVGUflXF5r001S5caCzc6IRfW1ML
Fj1VGmQPrAvlmlJpOi3Lk2M+a+N+VYVD52h1ZrCq+O+HAkmLksqqkkpl7ezzNX1WIZqCd5FDz22H
0c0Pw56GTd2KW/iQK5MizV5LhuwWwvOzhW0SbYCB7qRHiGLNQ1aX6lcxuZ1feL3cvH7WXl74/2QC
L8cAZMLKWwAigkDN2TGYeu7ZuUrTo1sRaaBLHvXJDxOR4e+5YrTVmwItiUAVrqiDzqpLwwdngEBv
JzSJIpBnlIlfshNyVPvN2IFk1g38UHLJJzE20ZvSxFcliBT0Qbe6HtePsseeye+7ZjBXiRUFhr4V
oTbEXe6siV3+2EXmXPhmK+G/RMVUPCzR8jnKkxyAY+o2CZz3avyiukWErLy+kA9qzVw8x3Nt+6JM
IHOKphdvo2xARK0BjhUN/QQ7uLbNbaWW0cbFJXrvJqo8SEQWnhC/NR5cT5hPbtN1zrbsPBNOTKsI
03dFsXyJbC+G5d6p1efITNrntnMymFBa1NGn7IzF2MwTzwUi7v1oB6mRQywU6ZI0GyPBsdpvpSHf
eNKglI5QWdvvJ6FjchzLGD2VMluMT7qd4qGtG6l147E6jSfXr/tS/101w/hb8Lanl9wMit9VAYge
FekUgVJ0c9i1gOFmRX0QcH1vvFqXG5f3DkFCKhZrhf287FwjERGn+EAdu7Ia0YPL3E2U2vixeChV
vL5xLx8JhgI6D/Z2LRTpZ6exwPe1aWu7OEpw/dvWyuNdXZU/Xx/kQueORaPMCUqfWgzn8bzC1pqV
HdELLo5z4YqNprF+cM+LDQ6sYa6ljxC3Q+zN0iMq0VooMYF/qPTQhUfaxR0MviGlawhj4vWf9aJS
fXpoOa9479jo5gDHOb+KejObG8h+5dGEjqGGQHf7EOvY8n00iQK8VUKa+JBprStCGIUD6Ocp895M
1aBMW8JXATZKKc3PLUJG+Q5POMclmdNb3S+NWkm2GhTU0htmrIBWHqBPyW3uAlAZXBAV9FCTw2Qa
s1/3Yw+t3TDkTjelPKowd4oQzX1ph6WK48NHrVjye1OfYtwte7ilXrleHsWoVz/hdPfRNqEJ0+7K
Sir3LegspGJzaOR6UWSw7bSu/Wiacn5TTS4KH6uKxAIvuyw7HNOAjkI2oKPmYwScfYbsnOvrIW/l
LomV4lbb6EK1kQzYwHKIhjnJPb3Nsyi3bkcCUrttj5N0G5wl1HTblrZySNyqv1v9GzYG/kBhWkGh
7JE2eaPKethFc6Mcc/6Tw4y4Su3bitpvqKHqD1PWQXtPLHlPlpJualXihesN+XtzTNA+GctbV/0L
Bu1019AIAki6tr7+h70z240bydb1q2zUPQscgyRw+lwwmYNSlqySLXm4IeyyivMYZHB4+vPRPRxn
KrcSta93o1GoHsqRDAYjVvzrHzjEzh3mDTOfCwtPheNUS+cB5ZD5iGIsvfELO3IelFYl29FaNPE4
2CnltF+hnF18Lc53KGLzHbdkE8HsQJ+MN49mLITXp9qwb+x5uxS6GWiLbW811bm8O+jhWWAMefVC
7lRifRKtnE22OPzkQiMxWzZQcu6ukX9fF3WrggcIkZsP9Orz79WXyvV7TwJTW1G9jed8PkR6sdBM
LLESV3q1a3LHu1Kvvk4DAX+BUkXiHNwG2HhnexFhvHT4iqw61kzRu0xN835E8hYmuZHcYRZehmJe
4nCpNSSlkxOqLu8fBtkWW0Li4xvS7t3ANWX1TtOt7q5LDJ2TTSTX+uVn3KP1NADFhfiE79UK/J2T
27uO6NQlYjcbU6OptlVXdJvY1Oet3hWCrnFvbe2iq3bGVNoHxOAeFQf2vNKq513qY3WQcHHeOVGK
YVEtlp2KfLHP+JgP+BLkV2b10qtkWtE9AsSuapHTo8sDPJvI4a3gHi36ph91wWHrqV1dNd7WLIox
bCK8Ld/eWX+adZ5+I0wRTlaAButHcn73ENwaS1T95bGb5mbP69B+ooYHT1kamd+Od5PbGH5kYxI9
2yrS9xjOpD/tUGKcgPpuZ8bKeCdi3OR7NkZyxOt8f+U3rjvN2W/ESR13bdhC7ETuWclWdzo2JHna
HBMOpIOWdB0kV518SadcNuihu7DfaJUqN/WUfs6FfQVZeF1TUHADGYFursKy8+o0bpNGtl7SHO0Z
ypphFPPdmHfu7bw0ERqp5Vqr8OdRfv68QCpc9xFlwPY4WwkIve0J+U57tDFsxNkqSyzyIxtjjDeE
yogn24wy2l9xEb030MI+Z7LxHnp7rB80nAmoGptR3dVyWL7FyWJ8M4w86jeSNYcrc6b/CUiVTBvH
lf0cWJ2nPa8tl2vA3hk89PPbg+FFOwesERnP+bdXSpnny2BXR0xU7L3dQjDva2u6Xyr3PU4ezYFK
zv0jLX1CGPo/eQy33+RxIbbDKJsrV99Lb/DX33J2wXbKUi591FXskhhuYXuw6uBLPzSq2NtDVLqG
6r4uC1ktULKQYfsYRp9fFOdGoyGr8+yOXRm7iiP9aOrlEHZJ3V9pOViXno0rNigqCBFMurNjmjw5
PYsig7HK3NouNZGWMyzUjdT6cTM1mbonSnwg+xjETZPjwn/nV5s0cewwtqLx3mqXYleOpJ+QVlps
vQXrg44+XY3BY3yksHDuqFOKg1sM427hPDj0Vmpv+9klWmkQHpkQvNZiV5meDLE++qFj3HSjqiV5
rsym2dgin0JMi77E/hztBH+3qUZPXZmG19WxA5MQt18YZay3886LRpe7NSK3OjYycYkplExFn16T
l154rw6vE4QRK7tVwHG6RfeaNZLl6VfHReb+vkXOv43bjNm03fbKpndpKCKP1jdLGU7RezrU6nuj
jVpbH61Yage9ipctIy3HIeqbK2fAhRW0Uvm5GYFnwv882171uVpUYov6aA8C1ofQmg2b7RggGhhD
Lyd78u39/NKjQY8GCl+zT6DrnD5a18HvXLquwQFqpUKLkkTMmLpqQIBy5UylWfP67EAzjlE1zSKx
5macDgYe7kZl3I/rPOZeoBu4LdHYWEYDJb5ZpUHXk1uGU6RfYEQHh2iLE4y4h/MGs41Dxr9plC+6
eyvRGj0A746cmwlx7ruiHllk9Simj5HblFyCSh3TW1Oy5W5NzJH8ux6u0GHsXOeDGnu5Wn2K6S/N
tqPbas669EMqM+/HPCe4nDT8awlEuRzLua8/zF3U58gp+um7mRn2yzDbzhh2jh9x9zeVwk5r7p6y
2pHT3sf49AOQOwS6Mm8sesiUuNqEoIE36GqfOs7WHu+36qOZ5bqxsQYEv0QMJtZH3S4AOGZTTEtQ
V/glcEa483a0hfy+dCQE7iji9XJfmak97GpM/A6+LPQsWNlDLUBGa0pq/9kRB13U0iVqLcllsODk
8Vg7xvAxiuOgN2UUen28kFVKdRDUmg5wUeA+RMAlAdKwGrh1ve+zJcdfSxO3Vta7+HsvfiyCOsK6
BFs/5EJwUsXYb12ykuMdihYH87kmAjhpTOyXcuKM1utFaR5cDFDGYBQEFAe0DPpbFWP0GCR4Pj93
HXY8gWZ583ejyHTMBy0z3akcLzISKGvyjb2qWALbaqP1zpVNH7UaI6cdsGX8sfNKbBx6NRakcICu
PJEsP3/TsPTGzz4h1r21E1qvNXm9zibpnPoxy7rV1EcrdGzuIow2NxzphESTQdHfY0ir/RhxhPPo
+Ffjp6Gwuwc/rqOPM8ZnX8uoMCBCFirJcCAa3osu4YqkaQkmXw207IT4KIVJVM/FEEMjAz+ve+KM
jGGDSY+IA8zM2q3Ab1fflm6uvbOHSL+t50ndYLi1pNu0jrN473EL+qAAaPiDxknUxC3ZaRWkQy3U
pmi7KsYMe8jdTbWMtrczO69yA9GYvtroZY3Zk9PHuzTBJY9080T/OtD2ZwXg4c2rkg0O9DFtvH7D
CVNi6Ws42HzFUIzxBIMJ9TJ1o/VU85ZSXKOGGoA4M0YjcDNEgNs4wuR3o7WV+cmrR/+Ftn5khkLr
OnxcpBeJEA9jCzggnv3sMEdau5myRR7jFFJlgJLW6kL82Wo+L83R7wQBl0FNY/wxlSA3x3Z0y4gE
XtF8oX+CEZjM2xQDyDqutGAGj/tG4HUbZLOr3asuMgGRhqYBfBjwRpzGTmHXu3rqEGGgESGa9bn+
g441VAZ3xvkWkya3f4ibTJj7QVsSfuFcdXdTXFl9gPUJMQL6EMfP3dgW4UCKRr/Htb7+nFm06DfV
bPQ0fJZJdN/INS/FpnH12GL9tGa5bUDVnG2Op9fGxaguDlbnjK0panzbJV6UNU5N+EcFkqDgj8Ow
+A4hkV3E0dvZxXEyKqmCAQ8seyuMeBkDj9CJu6VsG9wLzVhLd36kt+Y+NSkfe7k49QYbNuwMpSXy
nMrTXj7oq7+YrwQr2xvNAVQUM/Cj4yUIpfq6+eFjfrkzaszndkObEfkovTn6pJysLXZeM2fPhdHM
jxO2QxtL9NntNFLIBxk512tye0KAiZDZaIUZXMvHKnZZPAV28KGK2vyPyoiATJWdqD/muWMtxqtJ
5cF3o+Uh5d3CJWaT4//gpF+NER/DVE+WW6dbShraLZxDtodKTJs1Rym+M4oxesiZq5K9kK3Ll736
Vo812mt3NsDZEjH5W8zkSMrw9UQWe32JSwLDk7Qg09VZzIPGmyO3RndlFZZO4iMMBE3wb4SeN/d+
Nrly409eV4adcpJvGjnKTThhOF0EFZbeTuhyS/04GZw1ScAHlPt43ydAPU2f4WZncX8ddwN2cD9i
UZD7E5ksR2+ZW2YMH+xh+/YJfQEGxACRJQMUiDiK7s3pqWn0ht8Je24pYBsziLAmRB8ee0dstLKb
VsuJo8aYMpjjydoZVcR6XpZ8KxTeo8rxol2TqluLjMgDYkTx4+0fd6niJVATSsYq+fKor09/nBM5
UDMAp4/xRPVEmrbfvI+kho2jMVrO0Vn0Yt97aX4Pt2LghlZCnCNoLfSHBVJyJcy7qJXan63HRNrQ
vQJM4+u70miIKl1awGIVlc1+6GJmd6rEY52XE6R1Jr3ejoDAT0kcV6SlVYv3rdIaelmYElYBdAvx
riPK6Ie9dPnHxXTaZD9EXfp1aKflfVWkJDAMcmBdvj0hF+q3lSnMW0JrQnjA2XwUeuvNI9m6fNek
XrW1CmuMlTax7N6VWetcKUzXavDscorwFWRFEKDOuGdLIx+wxC1rrz5W7tIFMIrQjs35llr4AaPM
W8gXVyD99Q98NSBlN9R1VOFku569blcmdTrkzTHCy+rOtAZSCQ3Z7zCjKMNFuO3WgBZ6nPMF+Gbp
xRXs+UIBCTlnpc5TPGKTfVaIa0rEqaYV5AK6owy5RiUh1sLdlRr8Qk0MW8OBjSOgMOjnSlMMESd9
0EgftOpKbTQ529ulAovx9Gy6slzW+TqfT7RtNGVtG5D/vGchBzum+bsGHS4R1vu5L3YeKoDAmiHt
0nn42mkIo6rcVlde5KWVs6ZOQBWGDYMF8emLhCkc4ZSpNUcf3sLej5P5KBelb/vR89kMF/++0a+C
wJcwQBzifYt/2/gsrdLQX9ve/lAOVa4ycn+rKjoSiCt3OKuP75Uu1G4YCmNXj4N/V7Vy2fQ5HBab
hJZVrFjdRl3dpXiVJnnQVxJRYOyKUDWix9+5pBQjjuoKa/vCMkCqv4ZfAspBvT27zAt4ViYVUntM
aHiEqrWc7YSv3I7tXl3xF7rQCKU7zFsAiYA9CAfzdGLsJsJcV2iSG4eZTTurbd0MNknSf/GwDnyc
RYZVGvqsItqY8UQJ0PLBG4Gm6mYN7Y7MW6fHenlJHPdmGYW2Mey2+x7VcvorSgf3y5Ab9Xtgkudx
aqfvmT2yXWBl6n4e6Vlwc3JJCNt2nkvELICngRntJMVtrNHZGRVW1kmTGUeziY0/wWsMTC1mL2s3
2TCnnzU1ei+aSulF2cv0pePODwLYuyaoe6+BI03eHNrQNrJQxTjiBKOfxLdKN+UjAg6MYfHULVu6
vFH0kmLTWgfGXKeQyUctTt9xvat2Cj+GFHdVVd4OhmiJFwJBfmfGhEcv6VI6wTKlzdYlWyQLHNm2
xs7B0v2mS2dKxiSaa33v5a0zE3yR/NGN6fIgY8P9oGs9hYtLXzcNa2Jkyiu71YWzAMzQYa8CEKKB
d7aApqGKDCODvD0k0R36o+ozhqQvFsDajY1t95Xr9evlivAfvBpdNcwVeBGnS8jLmiwvZlceFbE5
N7jPO0hFkmw3mfJaQM6Fi/zKvYAmQH4YPgDn4s02tqtJOXF/9OUY7UkCiA9zw/eYVHZ00Dsuwtz3
1I2OCmFHKFi9KWbZ7/EV1ne5otMztK3/3Yr84evbp++FWolTkFpptRyj0XTeglE4RylaosOxKfPh
A1kGlRfA/x287ZRgYqLiSH7GsAHbU4VtWBw0gz+8lHPL26i5zOosH88auJZD9dzig6tzJYnseHvl
Z65v/nTbh/DA1IElIU595VvR6easx3rXH1WVjTej00Xbis71xtZHc6Maqz6atsj2k6L2THrE4NoY
PV35DesOf/4bUG4g+YFovrbqT9dL7JsqigejP7axUT6XkPzJCuAy/l3GeJG0GXeKIFpM8YwOPX3K
ls71tvCYkz2uvs01372fcYFnvwazfKQoUNAxCTjnEbeI1occjdox9pfpySH3OpyabvrgW1CLgiS1
+9Uu1Eq571qLDddC6rm+J71uHsO6bs3jOFZQkBzy7I9j3vsAPKkt/pqthosWu13vQN9niMAbKpo5
UZsQk67lid7TVEbx9NEeBgJRdGGneTibes9l3PFWx9vZCycPEB+iujcFllU2X3VpF0j4CDe5TSv6
U1jD1/0DZuP4fpjKuu0kFGgqWTNdtsgjm8956plfGsuZ+rCz9OYj0KX9VY96mB1DO+eKu08xPbfD
4MrAJFoBI/myEUPQw6ECLsqXWB66Tpo/tGhOu8PbK+F1KcDH4iORZgvivDsXmkWt5i+qzocjJO/u
xqKzv7MU0Hytp3+0mp4HY29/eXvIM9bz2pBYGzi4MqGH4is4t4fpLWhv1TIMxzaFxICt0EzeSJmN
e4wdiU9YsEkGcl3unBI0O/YK73auVB64SaV/fvunvC4p+SVgki5xkpTSP5Oaf2HirTDWMGlyOC5p
p+0rOiUBdi3qSkn5+iigP49GaqWoAoGes46XVIPRkzCKKMjwTuupC/0yQ4mQ27C5msG+UlBcHI/c
ejoOsJ35y+nH7RFOW8NGGo6VdKZQs6flgFvrdJcZqXlgxV5zLrs0i5w+q3gQgizV7Ol4kNghbUt7
OCr4x9yu/XTTWoW5+/vvCq0u3VH2CjjzZ6NIF8ZkSZLGcR4RVMQNyCJwyDWc+sJBCsq/qgBWjjgw
/Omz0ApfzIyQ2OPY0bTIjFnuyU1Se8+srqVxXvj0UJbi4USNAK/4vApv8CXJkt5Tx26BRInuUt/1
7BpHMdUe2BrZOqJxtCt17eu1Qb8EORmULAcO6rnKiUKZ8MBsHI46SQA3sV953KohAUTSrHYJgM2V
q8br+WQ8jDMhgMH4gsNyOp+xzGKCLCBGU+H9cGEXBonT1tt+Tdb5u+sD/w4aQj9XIffTs4ILGhx4
vY1uKh+ieDdrdRH4xlBdOb1/bk6nZ9U/CeA6klXEuednVYxKNpv8iWHMtPmRKjJa7Lib9/SJ9bCE
prEfSqO9l1Wav1s6of1hN6QqZGmWfdPiLN3J3NG2GHtHW90an4bSs0IsnKxQJsm0q4nxge1kJjd5
q0dEvQArliqvH4uSvsWVCXu9/gAfuEavBL3VZeXsg0oH5S95wZN4UoqHWawq36rVAi4U+RHH1XSn
efW1r3gtRM+mDxMONI1ITNgpzjnsym6Lztay8ahbGE5wEI8bAyf0oEujJ6suIK0VS75zszW7qDav
aY0vrEaudBiw0TXUSfAwT1ejAESUQnnjURvIBhlEaoGv1vEu65R/eHs5XhyKuyNX3pVIfs4SzHWr
RJFfTkfpwVKxW9z6UbkKZHzjNTL9mfnIeqByU12beKvwbKVBnj6WYysEgnkyHSeJoUJCoMhBTqYW
mnohjhMFV2hhSbqBCqQFozKfi14jt9WZhPFEB6X+OLgpkC21x/thJbVG+qDTkwOFG9rio4/6amvR
5tm/PUHrl3++Etj1WII6qaivxGOVMnFsy9oJWVfGHRMPyMe5nG+R6cW3vl8gO0DQfxBJnF7pUF9Y
94jJfPYkFzISJPzT2SKjIgPQ7qdjsjgq1PuZOMaY1oC3fgE4blihbok2fPtpL+y7VLiACTbePitD
9XRQMUN8iBp8snFFcA4JMZFhIsm1SK3a3SncNa6Md4EizzkG1IKSQbhYkJ+tCUjLfauV7QBS3M2b
jq8CrlVZhbOga0XUanqYBkhhhIfU2IDq4rGYx/rKN7DuIKeveGUzuRAsVttBvKdOHxrYXuPiy5bM
ZUPfGpmuBXFUV1cKgwskOA9ActW7cFGgrjx7VL9M6FiW9ngsreUFMaskdgRmEgnCZlhPor2ZnXGH
j+x8EF5l3Mbl7FOlFP3Ww7pk52mpta+Hgty1tHm0ujR774v42rn7ejuAy0sGMD8POi8L4HQqehEt
BT3L6QgptgCh5vq3OMP3NdHmyvK+NBKzjrYErg8ebGfLmzgjjNmLYTo2HiUSWCY5B7lLW7m2zSuL
7NJQcJxZ2Do3h1fSfDB/I+mLCRcOcleCknTeAJfXYuMKbkBvfz+vl9KKGqJMJC4XSOUcjys4Gb2p
16fjIhQmZJGW35CK93d99DkIGYVBuBZQrp/fTCqpG4ucXbYGtsijkdEA1VI17UUXLdu3H+gCjPLT
dgP7IOoWcNiz9zR6DnFHTbscJWiDqj0dnKTMDkbjmvdWPBbPnRznWyFmLWSDb7cZ2Ypb+GH2nRGZ
yQfPSJ4UeqEfb/+sC68U/SuiTK6D1GvnKmYOASdnXnUwft/fRjPIvhxHb6cx8pUZuPBKodBTd7BN
QWE9NxqQTd7KMR/1Y9fFfmiWdHJiUmqujPJ640UM7eMjwAG5OoysD/zLFa8fcYlp0kVHplM1G1d3
4p3o/Re9qCbifbRr/lOv6humDk0LZyrfO5/h2XfOe6s9GIp8ffBGbmyDlBEfg+yDXUeQtmQDld8t
+9skTRZ6tnjJvf36XnPFGZ98BJB9bF1WhcLp4zbYuC+Vls7HdO6LrSSj6OBOS/KlNYWygjy1Ixgb
hbmFKiEOWlloe80W842rNPue2DMvLMiiCTU38Xa02eJ7v+lVOPUJltADyHfkRNMmtioNFmRqbuYO
KsHPJ/hfD87fEBqtZyFv5L+34Pz0Ivv/+jCU3/ru24kF53/+2X85cOrG76suZEU7uaSSfvBvB07f
+33Fc6hxaciu1j7UXWvzPPnHb/rv1IZ44cFnBSqmibdKc//twWn9vhrwoNegEQCpkHvN//0/WJ7G
L/XDP490efaf3zDdw5OXL81jNLpUkNLP4WjFZ9ZjF6LvrImsQTV7466frGsekT9lA7/WF/zplBYO
5hUcPmuo8uliVxnSjgH3tV3b19FfOX7VBHLFuh1tbDtTaI2sAbbCGK8SJ7jw/rCNcn18rgyiS8G6
ivSmTscBzgbS3a+RXqf9Nu90rBClkfrbVMT2D20NsthQHVTzBqeMFmcHXLyMMAMRzfiWjaoOXOXZ
L2bZpp99vNXeDQv8jcAi0B1NCbwv4mXp2/81pHb83RvMhTiwpHiumzSqQvKayfmlIoXQ5dRQNQmu
dXN6x3rp3ZqlllWBpEL90EAoSUIyycQzZvgEog6jX8mwW3pSAxdDz7sNmobi1vOWJN1RGzgEc2tV
pd1ZlWzf65llPhH8bKCUMAkNDEyLMKavsnRU8wmFQu7ypvLyJZmI7iSL1CCJu7SaZgoKzJPlRtDB
fPllXf9ryfz3SwRvKyx2iPDllF0N+7iOnb67zFwUNRG5YLq7VIeEKYPL3i3h3x2FtQyBgns3Fw3q
kdNREkJLJ9ec3Z1R6vl9Tb7Lsdaba7z086sMLmt8V1yjWfSYWr7y0Go7g0xb193VmHY+cOnTdvSv
5nt6h0mI9iH5QiC8FSJUGnZvP9+FkYmQxUhhRcSwTz/rqdZZ4daw8bydbaiDmDBMnxvru0Puip1X
9xBSiN6MoHS9Per5yU13nEYLOlEaESu8c/bdGZVnQsfonN1YdOSujBMijdb4u+xURqFOhu9PH55O
2jl3OwayjlNyB3dGNzdEC6Xe956PGE8wJ7mCil14IDrwsCnYEvnLOUo1N12dYXno7CAJ0QAqJvUZ
yddypUG1nr2/blc8EKAHuCy1FXlU5xVfPFQWDQDP2WWyc8SGfaL7GNWUQEErJ/+b56DEugI9r9XN
qyF5njXKAl+Gn0XoL9XPWLi+N4sCQ1sHctmQdtluZDPb4kN4rfK5NJRpcHAgL6eAPtdKKFF1UFYZ
SrnWQCPZVJtMh+e3Xs6ufNWXJnJdetiBA6xzNJ5+1U68cMGGYLJjvyo2HklXX+NGYmEppuhhXGr3
yixeGG9NByBuZbW0ALs6HQ/SPc4sqx1dbqP8iFuCHYSRz/tI0b+wcLn4H4zHsUn9CJOIRubZeOY4
wW7GeXTXZqn7jlGq3VwuzV645DyUhlZ9fPt7vvDqKBlN1Hm0IwHm1v/9l1ViZyJjb2M8PAmrT3Vb
DDfYZM9fOq/JrkAC5nmBzEcAXYlAGQzGEBueN2kNcHXVt0W0cyfVfUZmosOtq/Io3oBEwZoa54i+
fWVaJKhHZoHtqU/0CjRQuEfJNi8ULr7wVzq56W2vcwKv97Nm4y2L0WwSQ0Jl9ptRQ+HRDAJCgBHP
tzXnjIJJL5YPZElJtela6JAcmyXW0m5uTXEw1Vr+J5tLsRIfE+sm1bu/C4ZAnFqDCXGwXysjMgPO
JnkqKzIHNXeXOksR2sPco0aVL2+/ydcbGasGcRRfIB8Hx+vpIDTuoZjEkvMg89UqlWPixFWdwut3
iBaKFUPzjoOf8/V0lDluCmg3xH6CGckbIETsqZNB307OoB5maNo3JDLoW3cw4w+uMq7lVfGpM8Dp
tvbTdQr3XW6Pq+Xy6Q/QLOyDRqJW91PaDuNXZDA+6fA6NN8b6Trz3td8+72ReOKzTP32e4XL6vDR
xUENUbJZbSC4de9boRmKsLykGPwDiuFZ35f5ROgotremF/BBdC9sqcWnco6mx2kpNGQ6lfZXurgJ
sYFlImDaImrAFSBv46emq5Yf7jIbNZz8sbVpVQ/tu2LuI+MA2mjImxjX9Cl0Mgvj9QxPO4hluO9N
QVznoVcRckuGdJE8963Q8TGozOXgtT5/HPlL6TfdtkkYh0lfQ8U3BWHETo+Z030mW/U9F515n+aC
NOtRwI7ZZJ7qim2ea8ZzJQlP2Dh6o965KJWrzZKTORvCpxYPECMlN29qdEVgeY81iAZHU+7ctl/6
o5lF6Jq9XmueoJf6X71hIr0b4xLxbLloNYKyN7N3I+mpFia+pBtCvW2fzb6uCureoUZMbejFZ62L
xjl0Cw01vu8Q7rXLl9GCbCF8GD7OrA+BSkr27ElbafmZh4Pw1oV/e+d3vjNthF0jqPDNdnpvLyME
dmforM99ZZsksUZ6CfUxcaIC+oJu3vU2LCbcBqoX+EoNroxN+THnXOLqW0aihg4iYC3WttE/zWkl
hs3ixumPUdIz2Ci/R5RVFT4SPG0Yu3thJzRmSmpqGra1QCKuBtyUA9uWpQjKNJJ34yrdD2QyKGwa
sprefT46zieeuDLC0qiTexvhdgYiRlQv94yFVAIzgW0QzH3vEwOOVuJ2jOVMinZnLnuR931F5G9X
LwESqxRqlJ3SOlBybG69uXMQFDfGDE69ps/qc6O/g7tB0Hdc069pnaaZbyLX7GByQXXQg8IY1L0s
UhDPvPTFjybmxxROx5Ij+rd8WiZqELdqsV7GIBqKXW86+KY0mrpBwNhttImidf3fKrkho3j8kIDR
yZA6Z35fRJRnAUYr7KW1T45OmNNgDuIU35ywMcjIC5IZ406k9y5tLdKquQot5YyKotftTseWzyQr
u5aN+bgMGWKFrB/9gSiC3H6cmqFL9gZ0wWjbuxbOtBMTNkN6yw1KJ7+CxSPHQfqBbycDGb2L5jUB
IZhltrGNpvwr72NLu++tuhNHVm5ePrT65Gt3JaB4hqFNLexN2/YKUnkaLeXBj7oBHNiXdov3R5X2
+852pnKTN1OH7f8cGWUcZK3ZyQMJ4B4nxwSNTf8Di46oe9/7kfnow6OARr7Y/SdP2cafURXl8Zrq
bHyLGm2i90O37Z2Mh/Izl6PkoVEDhlVWXeMmnKHCJgs+1cVnsCz1rHcxQv1oDa9u6xqpXokJcBFG
HlnSAUrfPt1Cr2DVpdOk/sraxXmZS8sdCSrT0I9lA8CPRygryfDIHLqtaltreqBF6qrdnJeqDpkq
1IN8YVZ/b2b2ytPCubndy3HK/+yYeZeeJibn4ECNrn9Jh7TXrtRxr08rbkzYGnCD4BDBW/l0G6fv
06hiQPuSjTVSt9gydqLJv799JF6oOKhd1nvZSsGgU7aeZr9UN82CCULtT/E+J/D+zi7V9G5CYBYH
XuSXH2ryLZpNV1TVh9pNvxtRp9PCRVTwpzWZaf+unUT+ohxYQrgLsWXsrIWFEfjSjBFsIV+6H3zA
jjDzdMwh6LXE36X0ufe5Va++RKVBzy3qTORRdZY3T4abpX/WtpwfoaXkn303Xa4kZ7ye1BVMpTq2
uKQxp2eHM0wTNMl2nOzlNIq9lZUODPqyuWJJdHEUJhXve4pC9/xiAS+utlICCYiLWzcpWSQb3bgK
3l4chRYGV1ugVACD01eHYebsznwfe8urrUBMKDyR+8sr5falUchjoVFLPYNE66yaKAn/aNBOJ/uS
WHj+0iJHsPrqivT51SgEaxJThfYRKTZ/f1Zkq8mPYrtmUysNP91Kcgo2mFuUf/dZ+JPhPsKiw4aC
5t/Z2/csjrws05K9VoiIjc/Xvrb9XAM2/geUfPhnpXUC3gAvnhZgP4fxHaAHbpavAhAWbTWgklG2
11Up/kpromFumt5J8NlwE2i+3G/jh7TPVR30g+N9jrNMisAhJuO5GCfSYLXErg/67HrPWQMvdvYT
7S/qWSi5aLqialcWzlLe6t0AIWFYXLcKij4d05CEwHJbCCt5tGrHN9jINeSVFWTpLujU4GRBZyz5
FGTFRLJB7Bv5hyazRblRpavuMlKev+WwDgwMksiPgkG0OMleEUSRbkgLismwtKrUCHQ9Hv7AJIRu
+NIABG7fnr/1XZ/Ur0wf9kf0PehcAtKva+WXLWn2eldEgIxMH3YkyNLr27zKlqNW5+YVrObSULDA
9JWyS5P0/BPScyINhOake6cQadCUq5YNhlWQ+ek16//1BnP2VGs/fb13rDmr562WKnPFOEo/3au2
PPQJykdHOd+5BTzOlXgYLOfKzn7h0X4axlNyrPSic3BPw62s8WyZ7Z1s9YuB2nsni8gLvBgn47df
2IWPl9j6NRsaHAUjG+v0hWVoJLosb7N9k5vF3te7MXRyq/rjfzAKrD3yAQHoIY2cjtLZNvCw2Wc4
WeaI8Sra9a4ho78LdmHfAeBqQhdZ/UZ+mvX8svisqZ+Vlk3ZPuVSsR1Hg+pDxNdsJM+RSdz5YEgh
D1ubHqs78OmzOJPTtmlqZHvlstO1dmXfdkVpSOo1TSJTc6R6mQ0HsnpVdl/+/jwy7tp+WD+xVzYl
uFfmbsfYIHlt6I/mjOiyFVca7ZfWBGge4BooJYOd1RV1O9atrrnZvs4TJ6wThc/rItu/v6Gbq3UO
/FxqJKql03ksCiteVKln+7x09I27uBr6XN2/siFdeBaIKYJMHHSxq1XG6Sh5N/SKm3C+NxctOfgl
/ptEsTy9/Vpe3dqxfjJgQsEXYD1wapwOMqa2hd6/RRPYDlHYLrQXestBHIstb7pzIUT++Dng//YS
f6O4W32Ufpn/8Fv/7b9eCJfs5/tv5cs/fvtnmt+Hofg2vsj012bif/7hf6f5uWT20UrUgabp+a95
efwj/T9+A0v6nfBRcHhwz9Xxjjf6r16i8zuVDOkP9CCJaMNQ+T+dRP13fHLw6yfoj7/iWIkw8ax1
+FYrkVOKZfH/j5UVTV4zAfHFoHm6OlOux8Av+xVavDJejNa6AW2KnyYtKn+YxAM5gd7H+ZOi2tql
cbx8kaI3cVrIa8vd5L0hjpGdWzJwW1HMiEZt/jGU6XnodKaB7LjIrfeqWSVlPhEdxTbFFa5B/98W
dzN0l++rfu59qpxxxt4ICfWezj6mRsMo7oc0Kr7oE/k6yA8Ii96lyjVeDKxPEozHZq7G84AhMPIB
+VH6RvW+LZfxu9anA1gBr7U5NJFKBhyhJ6wS7DRuFwAOiFohrBT70MV6hhNBY3SPTt4uP6CImc2h
6o38DwUYPLCtRbIPHa0WxYNMLX3apLVfO9uiSIRDAuj/Y+68luNGsjT8KvsC6IA3EXsFU1UESZGU
RLkbBOXgbcI//X5g986yqjis0d3GXEwoutVZANKcPL9DeIWIgpoJfJ7mgQTZPKU7U5hKqChYwYks
4165cfQf52kqJmwrjfp+NKUJnXjTY22hLyMaMeo1dPvCjumKGtJqeQ7k8Y+NUXb36datdbkO1z+W
Ts/0A/Yz5jtLGLQPNIMi3VW/8GonYpZSLNp0Ccq2mai3ArcJ9kmzqB7o21b0DIRRXbdJwd8YVjpJ
VVVk17lRiB+DkLTbFEv9aietuUa57FiF8PRSp8E0ij6WATPjddlFZdvP7gBefmW2iXNnDI78ucW8
6zuWbSvXeTTHw17PSHWyp6lNsTjPxE9rIZDaXdJV+1KZi575g1Glya7jvpgBmk3xbl4S8wY1Bxcc
4Mo6uV0l6BAufWSKNm2sNWAAtY0qr5vGtPEdVUw+HhL4kpqTWXysB8v+0vaRaaFzRMfXrRb4K3+h
yXyzrInTiRarLd2Clsg9lJLxSa4t59vazZkInFhZCSMukMTR1lbHH3aB64SnjBp3filZYIdPaSe/
k8pc/5gUlRqTwiIa7DfMSY6u+mbUYpTvlnI/Tmv5ZKC4+IIqE6uCZtW5pw5NE2G5IeMjT18Fkw7c
68g2qZK88VjUyk0Nz9qhOQNK7spjrOYEHsmT7I7tOuHrw08PWUh1hMF3T8TdOjS7kUX61VktwEdt
aUtiQ9Tm22xcbgAfF354cQEHch00wUg2i6GN/PByR8B4ZyjyWSA1VqRlFxNz4E3aqIaNpl9ilR/X
tP8MRXDmRhfeblYnhd9MHV86qb2GkUx/KR+lj50+PahW2rt9YnxTu/VCpXl8SP49IOpxbH63GvqM
KKqmLTYXvbGGRWnSG7YSTHLmxHJ1rfgkcAh5cSTc/72LHl3kTvZW3qT57MgDWRBk4NSDt6NjCN8A
Ei5i8trXOynyOGEuMb2Oa8HtmcB5Nm0XDQOF3uDJS5TAkFEjYv0T51X906gVHV7mOu7nNioOWABo
X4osq3Z9vaQX3uZWg708O7aR0cbjP8tpBJp8Uj31WtSWhgXdXFeylq1sFb7aii13LVl2dmnV92LW
LCwPtfTOSJNLmYfnExUO7t9SPyhZHGPHExUuZoMDzjSGeV/JAVwQyUvjiPsqiJT/9pc8n6jc7RiM
qwNlL0v0eKg5rXtVHao+hPupB7xJYsoaEsXbBlKXkVfarrHm/MLrfW4nHL/fjWlmEqlAOAeUoq2u
fHE2O30hJ+moDOGsmRn7sYTrAptiXX+OahtRe8nd9jvd8OFTLyej5OMFPn3E+apI/USfStReGZce
X1mjBdenUUtWAktUwZ3Yohe806scZyA4vOic1Zx+G13Qu6lvnE9tPNHU13ptGdwmUj4Mfa4fcmRz
dyX9VZx+TFxE3AUrmPsWVeGvt1/2+SJlP9YolRyL0D56mMePPen6NKkzSlMRLdUVWqviijzs5m7M
7BrNa9EFfz4eHOzNakPbdqKTeWSMdZoJFcUc9jO1N9D8u5nKKfHjmH1fXwblwhXxfN4+e9g9C+Ch
MZ46E+RxolT4NRG5Mtv3kGXNW3x+1celyOz92092fPHYtgaav1w74CFASmJzOH6TclTW1BcmwuWB
pDeMZQovNqFrvT3KVhmf7AMMg9cC9e1G+j8dRq3USGuyog/7CGYj4pzEa5m7bizZc8CdCkPu0nw/
x3O17/sMGlhjLtcRVaSL4BWWfNf/Ghwh3HREI5Ck8eOqxI9tIeE0A8v+wlJ+7cfyI5EXYbCMzcbJ
8VbC1ZhpJwvScbtl1yTYnWFe1QEItXjvRNXPjtS1K6tMbG8aoz/jQD9/kY1yA1DM26L2PvkiqVlm
jV0vTliMaw4IOJtea0jD3uyNP2tWbkNhC4xlPegXSTDcFI4/vrqWvcDixQ7lglhKHK2zXRw30e7t
j3/+OtEewLKGPM5hh+z0ZBRLX+xtXyLhasMvHWFfTZx2h2zOo50QY/6oz5oTOmWZ7prFvGSaen74
Ia7lasUNnp7fmcneWlawzozIClvs2W6XwbxpG+iHsqOscN+cdreOinKH29alD7l9qOO9WUd8QX8H
sw0cKU8JB2rUU42vmR3qVvElaedmr6xZjnEp1yERy5cqpfOVvJ2vXO/xaCX489Tfz8QfK6cRZIUS
XLdgiNFiC+6NF3bCE8+h5zlDJQFLhZArcJ2zJmPTtNhoSWqoapOzBokicyJYTCVPmUoOC3nU5MG3
9cnGWZUoIceZk1+c77XixYayfNVyMfVXnJRz76IiLD/a+gi3sxoV+34d4Ir6TTtHHyLsJUGH9Va1
iJQp+qeibRG3ksSTk/Ubj9boDd0QfZ7S1sR+yUZMczAAOrFU7m+LmEPNi7HR0HYxt4U8iBTJlN01
J/UaTNaEFtVzh0subXPn+/bmBA4pFnINe+opZQ49CJ4HlaGE09zYYZVM7eipSfHbjvV8e0GF9gHJ
KWYpI8xL1R36aWJzkzDUwhCutQksAB4LiziR0URBNL3CDaC6ZFp9viA2G0g6ZqhP2eNOo5EIRus7
g/TvsFDS1HQVO4rtQ7PGeITElb18tmfLWj17TNrBn1bgTfft/eDsJTEuRwBbApUhFgwnbSiJ6olU
wT5Dd1vM+9yBMFsX+GWtg9xeGOq5sj1ag9szIq7EDApdEhvB8d6z6GQu5ZWeh/bSO1+Jc3Rw6Zfb
A0YE2a9hSMpdD14TjFWk3iC3/5w4Lfb+GYKBTMnXDxGuixcW0CtPD5QG95u1SvPylKZHs5Y+wjrl
WMM36UGRKw67oqk/KoVxge54tiHAZdzkpXRgocTSSz5+9g5qgzRjzBaiwyQZwEDln6X2dOGwfO15
NM4O+KGb9PzZW+JFBUoGioF1WJSG9WRZvpk16m2tjqunqcX0R8gqWw8PxFWQKFLU7hA4t5/yYihR
5IU2mQSWaIq2+hLbhAfp4B8BxBGX/uWV7LU5s6WPIowh8hSp6sl7ExWGEjBj01CfpS4oC2X2mBrd
rS22aNw5svzVEPkNkFuzLxyj3oE5m56B6cnOgYx4gAVqX/iUZ0coTw6hjFm84fQ0Ao+fvLLHonIg
RYTj1NkPWFLoQbEZmuV5n/gw/THFtqR2L8upCGyJuJS3V+yJY8Tfb36rhZhQ4Ev8+Xh8I4P9k61T
SpraKHy7s6ob0gDqPQL37tCtDuFiQzq6iTVmHzqtTHzVmswgw8X1wmzb3v3JeqZ4RFKJ2hBR46lm
XzbGRQebycJSlcpd1Kayh6PIJczu7OTmLs5/G3m5RV2MQe/x4zqrXa8GXiShgKTmOibG5lpp5K5S
Y7sakXJ24dw4v8ZtAxqbPhX1x+bLcTwgYW35ACUiDxNbygHy8ZmvRJD111Xdl3u8fuJ93Ey/tUoW
u74qTSLBdMXl6mcfHHMsgnLoIo/6Lb3NFrC3STN/55M+3E5pZIZZTiuqUGXdZ3dPb5CUNW47zONB
qfPiWlmcxY/trNhjyPdd1vvS7UBgL2A1r73RjShIMxiKvnYapWthv25r0tSEypBFwbrqhQfJNvNt
oRA60vTVhQvUc7VzPFGQ+1D2MVe44lCGHb/Rehkb0bcNsdoFbWSzhfvhRWnTYs7fVF2M8r2Or2Ek
gExPCU5k+Lxm2M/OxZTc08wexn2sNVjQvL2QzjdLUDkc57iybYLcU6HC2KjGYGOoHGqjsfp89p8y
9ZSXjCQgvT3S+Y7BSLxrdkoklRw2x88fEwqs2FXfhqNwolv0nD/1pi/2OF3ApevKAskOzgdEUjgH
w0I08/borzwnslSqIPAmfCCfKUEvdupkbMgZSfs6tJR13pfzKLx2Xlqal3l1YUc4sbXb9iYuLxjs
0w6FcAk9/PhJURRFjgK3MFz7xPGntMHjIUrG9yMpvsi7LT2s+7m/q9tIwcRy6nZSC5An6lY6wKLL
r1cjpXWaG867VMvV/aQn+l2VlsM1D5b/ePu9nDWJtt+KBTcFGFSUMzIAHPfI7hxRY++Q0OuP+uXG
lJfl3mqX6t5cC+VeMevxwqDaK3NhOzt1WN9oXaluj99QzBaRV5HIENTWAp8BEJW5ybRATeJfsd3J
VNyjgoxEfNa5oY8qf1g0ABfMHqvbWO2ivaRay6ONaYGv9onuy1zFg3apS7fRa76v3VdPqmi0fepU
/ftKUVbXgljh4/ql37bRhPFtMymHasiWG9y2E9dY7Z7on3IOYtb+VUFzNYhKbixqbS7+XOj6TULs
rOuMotmvGtTGt7/D+TFCs4P7LpgbtQR60eM3spii0qbRlsg4BTXOYlKQOPQvhR+8Mgq1Ch1XuMrg
dKe963ZRnT5P8cJb2zi5N8WM8UOeffjjR0H9RLMAF9LNN/Pk6MjVtTdarAmvmLNkDyxFj6yW3Ny3
Rzlf0ACewN+wSigC7NNOQa7lVqLqVUzHP5e8FS4ouVc4HSYGaabPQ/0RaHzX/Ko+9N2vX/3tU/Pf
21/9UTdLl8ZJ/wxl/t+fbtMfXS3q3/3pv3X0lwA8/xl/g2mP/hA8Q7YPw69uef9LDMXfAyC73P7N
//Qf/gP8flwagN+nn2Va+anou/RH/xL3/VuAuhEC/8X1OkONP28C1HeDePqvj7+qOH56TYa6/Rf+
gY4V5y86ofTWIRpyY9wqlX+gY8X4i17A1vin+7D1Sv8FHUv2X9Rx23bJxQjFCf6n/wKPJecvSAJc
lZBB6UxaLil/Ah4f73c2QeOYzVggtfQlANfO3I6i3l6WdiQowIGZLJURbjMUr7sB9Bo2Wkx6FGlj
Fxb38Vz9Z1COftoueNrRPT1e3JPAjwJHaOMKA5hl3y35b1w25yBJ6+7CIfv6SEjxUNBz3T8tMkS9
RJGNNemVauEULg841+vOGBBdZHovJsH934XLy0vJcf30/Ew0gzdDAA4OKCLbL3lxoKYYsCmDTiY0
UWdSMJad9KSXToSXY7fJTbXuwnp/5cORLqRuNlwk/XB6HI+XF4MwSmydrxpI2N5CXmDuFpoWByln
2A1+Je+y2pEe//QhN+YVnw0FFPDb6UMOVpwNRZtHV3UCpK4VTRpODQ12rdEVL4vG+MJLPd6ft5fK
eBvQx62GCXoqga2nWRoJTWc8zAWvGjLr/SpPL4nJnqm4/1eK/j0MC4FqbzNOQ1Jy/C6XFgkHtmbR
1SCa8Soypd9t2T7J6aoUrlXNqks7ymsbqvA86t6tcZOHWt+hXSlzbljrKu/V2pn+0KOOZ+fnsMAR
gdEiOf3Am2u4qfZlTCUqkqslHpMDSQbCp9BKWSpZd/X2tz0zB90G3LgoFD2cvfrpCSKLVLUQTsdh
k+EmDFYtqbUfD7loPAU/fPMmKhbjfunl9MnaxAuuLByj8PI1sWISyVRT8pdiLn5GWbzCF49sMg5E
QoJR8PYPPZ/52xWbk5StgxrtVGvINUBSVHRAoVw2sj/qk0rZJMGdNYcS+teiXEWLc2HHOlvdKP+p
EfDJ4FNwuJ7MEKMtLcmwZvMqXlNUcNNN143fndz6nSQUrW8/33ExyGx8Hgu7ITAGHD9PFctttRjN
YJvm1YLh+8MsWSQaRpHYY9GBTVqjLQElTe7hmEg3Z+0utUjP1tw2PF0iKE2w0Jh+x4vBgTBgqGgx
riaYsJ7TFi22WH27u/CQZzuzQ5lLxQuljlunebq0ETlaGB2pzlUx0QDTmD+FN0Z4Ybqqskn9Sxtl
NlwZufHarll+1cRuxbukm83vjaHV3+1arJ8LPEtvE2kun9Qxp/mMb3FjeDMeuiqKYdncS05OQrVq
l5gJFdXS+H1s31mFWuW+k1rKJ1qbcYKmGdGkb5u59C7HUbUNcNeyvufyaP5MK0V+XBaBJ1NRo4jA
ZVT/WEazta8thHJsD8SsCKXPrAMsTrS2Ewx27VBIpXygcgZNB/6KtX1lTvYejcOaXElGbKQ3UyTi
FYHYhOxmxM/OG7s5vlOnyHgcFwJIvEjLFixm5dXwnQq7U4+gHqRCSTFbsV9gL3yT19NINEgTRZ2r
EMKXe+QLiDCqE8DgdJZ/q2ptGRC962QAAy117PeURvpl1Dk6ONWBj0maRta/Lw10rFeDSf/oXS+3
lk97Nb5tWlV5cMz8KwKh/RJZYnDVZa2e8MGOv08T6QrYXGuNu8hda/qNslKoD0KVPxWrGn01ImR0
/iR0bZ+LYiasZcsLduWmiD4nqjE+VmIeQYKd+ZL2/nytchDDOoHeagPPnWqDiUcnob2QnSvdTuY7
woTGYOxV6cZMMs5IqzWUC7qF86nMgCwUFRU+La9T1mY8KypGWrZzpeCadpUkZAHRpMOoT5fqC8vm
9aFoL0L2wyvL2hbviypDiwghWRaHVTOj85vFOLlFYmP+rQ39hS3vbJvdPPPohGy2eZvD+/bPXwzV
kh5AYcsClfAz3s2tScx8UhoBGdP9Ay295TDIxae3d4WzOEH8GWjq0X+iZON1mtvzvxh05j32OEkl
4Srn8y6pJ30fm1UJW6Ngs0tVYp90vHnGFdvKXpHFoan1BMXo0t4jkMEVF3749Qj3b68bAn1hBW2W
ZGzTtQRYydZd28kw5+glrfWF9/UsqT2qIrbfTi8fotCGH2x3gJe/XcotDI1HWsDqnLVBO2ajt05b
SJfWh7litF4uSudeNsrBmwojwsXU+tCrcxEiqh2DuJzsQ41C8ilLySwuYwLbOoemX0tciWsN5hjA
zyO4BJuTD5EjokBFRhiQfYK/cqeWh0U0xWcSXCHQbFXD2x/m/FCAOrPRGJBlwxQ6m+KQpNZFX9KQ
HXbEGqldAhRjy/7tUc5nN6PgNUxzH3oOaMXxG6TCqtbV0mhi28D6i1biR91pSFoMYVyodp5L1ZOv
xWKl47JJgAzW0vFYiz6RtjRJGRzYOEEUPJZBZzjxtSkTpcLKTQOZ0g+p/DxjhyXTeMxVkxTdKNtR
GMveAG4T1LPeB1TL2I5JvR5w8AwkCqXJfpWFEUzcbpi0I96NBOOhTIwIscxkrCYEhH/uhkPQ5nW2
Vwu13NPUMjxL6cU+oSb8lSjtN+TFViDZHSY5E+Ds2+/6BDHgPoQrxHNHG2cZir7nzIUXSy2yG5nb
HiHdXSXZv5hBBM4SjoUVykiI0MCEJPXY7eQmQpZbr7ntJbZVNVt2kvhQdyCQF+qes0/CLwIa37B4
zN6wnjxZ/LIZk92eWHWYqNAQMqSEQS+TeZM64+8ixqdRiirOv1iH1zy+t6NB9XsFWz2n7ltKVG25
yvA0Cmqh58Eircph1pshyDAJ3zRXHcrYxKSXTL5Y7shSkE5LvHMaGY08vbf9aqFqzsWK8qqH/+Zs
HuWOKGW69iW8LcKhfYh4MRw8sDMa5Zfq79PJT7zg1ujC4p2jArnnSQ+QXAaaoo6Wh1PfP849qURl
V+u7eq4vBS/wQpncLyc/Y3FC4ueCGwkF56msVEl1YdVmn4QZjo4J5p5U1P6MAbHndCSU7WshxwmO
7tCGPRluZeqPsyG9B+sYNBd9u5qjqt2Cy6Qhj6aD3k2LuZOhwPaBxDe+KSq5mz1ZEtHqLlFfjH6D
xZDiQn5Axz0QaYTPRFuS1GQaeFMMZWx+XbnZpYiJm8HyW0d+pxQ6UWDIAXPu60ON/VRWRg9mlLUf
k8qePk4x/mquKfKp8tvBqD869hwTD1bl9VfIeHaGgsZsictA+1R5vZa1n6tMHfjLVS9zWS2imwaW
6r2dLkqKq6lFN1NbOlKaEiCsWwShuM03ZZppXqqM6MF0pPRGkAyz8XVOq/ZbafQd0W0ZPlM7nbht
V19EXgSJreXcm9Tevrcy1NcttAji3ZXJdluzg56dzlXrIrZxbte+bGrPIc3ml5nDpF5arZ1djCWK
zzE+285O1of1Uct1LLQmvW2v0qyKH1ZJr28i2VlSFz6H9Q3dvaYFFpVu7q5LQ747ze2W/cZBSl8T
/AsRWorUgPzkxHQdvLMfS2uavyuyNL7XtZycRzz+vwGkXZM/P7ttvOrX8lBSQldLFWgTfekkq+tH
Nu3UBGfL0PU2sl6W/tJLxV03a8bPSemwwl/0WPltz7r4xW7JOcd8ryZP2K30rZFa7Y7K3pz9acla
EnYLhPsuziqF7s+VhM3xTDzaZ1tpiqckcaaAaIBa921jysVtO5rj9aoJaXGxpvDHWohPTlXXv7M5
6VbIOvb0YLT0q71W9DZC5FjDHDxKef/lnC7IGIdEa3ZJCpLAHtfGfgVJHsMpuXC+QsouD/C9LT8i
rYkv1kX64mN3IW6UNJPzHQJbohFor4JoNtISCy+bRU3uQqfMJBJoZg9ThLa57UU1oQyDXJa6l1UT
LHyRlRhY6EsyVt4QiZUppRF3TiCtctDEkuLoWFEeYyackuZlmyJ+aHsF9YU6WKT4mLMtgkafuk9a
XqQSHuhxNQSp0YgmEAu7dDcKifwEaSj2dRRByCEMcnxcJNJUCDzrYfB0Q9x5yAP1xo8Gy3iwB9Lf
xlZKhduVEpNDSpGNwJV3zM+RpWAqUxCqdNslVNCZCkznkqaGSn4o4YpCzke+4XZxrBEQ1k1t5sL4
176pHBOxLzoCL/26Bwn3hJq3lV9UvfR+w5sf6IzOX9NKhXNKmAbUjkjbFtxkmx97KN0TtzyVAAmh
xfN7pVytT+U8R08gyc0NmwRvoSpqTBvqOUI/MRlL97lo2uxDybK9jlf1geuesQWsmcpN3CRS6c6z
nv8ArlcCvarS30y3iISiobR6jBIks3ezqiZFQ0gdr6AvYomYp8Jx/FUV2a8YZPy3JdiugsVQhvcG
CeuP8On1EUcTWbzDoSZ6WqXeeaBdMF/ZUyopu3EU5Q8oAhJTXlXSAVV7NdsB1SKcplxyepLZxILO
Q7aldUXgC+fSt3H0/F5n1kD2i7o+ymrRfnKmQbpftVFdfZju9jW3tuKLg+kDWdBcHr9o06zRfsOM
RwlMjCmv2CKArEYIr0+JaQ6fQTNa5t5g9ZeSDE4vV5wcW/23gftojZD2HZdN1tKvsWHUZP2mZRlS
9ES+uWAYouo8qZQgjXu7THllPDoEpLCAlMIQOnW1Rds54t0SN2Gv0/va2h1B6Uy915pR5GqVeomP
ftp84fk2Oo7KuUhvlQGPn68orcQykDuFRL0It1Wy7Mpcrflerzo1WJa89MnJrrzCrCVfi/Ts76rs
j6CVfwuYHIEsbwIw/3+hFeCPfw+tBE//AbTCf+F/VXnGX+iakUzAjAC52WKW/hdasf/i9vrMZdBQ
iWyUp39UeZL11wYGgHegkOFm++w2yl69uX9SmvxF3wCaFHq95yjJP4JWtqVwXGTBI0IguFlZAT6c
ShvmRYIJo1RdqMNky3DoY18DT5WjNjtEK6pYKdYnr0fv9eHFS/sPoIhtQJwcualt05gXdDyHJ1mL
CywpuhAoYLnSDRzZ0BuI3azOKkSUWP570v5bPtYrDwqDA94XZH+KyTOCmTSvVqU3IpzMzkb0gxnb
Oi88JOCSP/TEgWZQzbxF17ILF8bz1bopVxBmslo3E4yTG4NRUWyJlICGRR4NlzAjUkKsFcfMvCDp
XHXmfWY5mN6UdnEz5NklQ7+zljlMJ3giaN4xi6VdevrkUT6va6SqK2WWKu20Th+vIZ3V10uWOK5c
9Kavya12MK3OvEvypAhoeTh7Y7G+1kPU7nV8nQ91rba3C0fshSv7+VeB1gEjjf+xpQGlHM8Cyaao
t+1RDiV8jIixTfKgmKtir2srLJNIJk+xrlu/6zjJ355/r41MfgXidr4MRgcnjRBVqL2+yKsa0rYk
UVSpSLsRwj7A/NZ35HeMoQLD4TBgOXN4e+Tz0wLCAI0KGb9PuBSnEEbS4le2ae1DNEXD1bBkP2ol
Sg7JaCLjt7rpwvQ7f9BN3kIrHm4+l4lN4vuy46O3C5tJmpghTrmRS1x27DWFpe2I7h0Cc7CNA14F
HFhz0l8Y+fxBkYtBQ4P/CIEBiOx45HpJUniqkhlOEMNQOz4Hqqu7RsVjKZov2b88Y03HWxmdVHAB
2MAwxOjQHQ83GFMCGpSaEIKNCXu1qiAdTJlHFEnRKg1BIzAQ8iynGHAU6YXCXW2x73P8v2TPTOiu
o0ZttYzMrKF6iIsCD8Iib1F29kSnX1kJ1HKP4FkAYXowiHbKLtY28yv1kMxyPe9ob1rf354qzzlF
J8+0od+oHmiFwJiwjp8pVuYa7avdhlwF7X1M24tMMjWtn7QUsZVLIIB8JUgSBljKuvrnqOV57tPV
s/YxCZc/VIKgrzSb+zA+jO13DI4mxy0ip7lWSSj9HUnS8NmZyKXTJEl7ZymFTaFtrHeOvIrZHQfZ
eY/4Os5AK8r11k7N4kkvdOWTNUgL4fKjLD6XRYkmbpky6IANLxSjKz1NMzCgYSVtciUHHaWB8gkx
dvanKBB1EJII8DXMXuk1n7Xism7bVJw27JxJv0WwqOzEVFt/vF6RKGynN50PJFmn1iuk3ODc2Rct
bcXki51KNahK8hOXOGmXIj24sC9tX/T4i2+jbfRGY2NynpIBSome8EIfIBy0zPQzNUNxHXOn6M06
vgGPQw2X65e4/KedUw4H/CLwADIY1jmDzMu4lww1SbqwGZSSPA0TfaW6XtpyXx0F5qZmEFmI1fH2
z1808xwpXeMck+5wnYmqmnGZI3xcvzQpzvc7noWVgoQScxTseY5HkWgX6lBYKSz0dbnpyQRF8s+9
MhF95mmTpew6DaO8xInNC/vda8/HfQPNF4QX/v+kLI8Mbe7sMu9CejmaW9SxFmAFfCnZ+HxX3Xzh
4aajJOT4OI2h65eiGpax375VmgUSOwfxxtAA5VL9opHgEby9Bb063PYamZMysPvJQ3GptVa0ZB3V
w2Ci91VH1KBysqsczFgBKKI/rtN4vM2RjPeH1aqpHn8+rdfoCKYTn68GKyzHBBO+bL9OirYZpsyu
LFeal9XK+7cf87yxCY6DeBrnFBD05zL95dzsCxNuo6l2IVFnGUxaW6Y0klKPo+vSBH1tqG2sDb7m
xDrlTEjDOoqxU8mCl4zaJQm+zXXHt8r5kqbitU/H9ZBTH7kkurWTV2lixoWmouxCZdVvrRYYbh64
8JdU+C657PmFnesZDT/dutgfadhuxJsz3K/sM/o1OHmGZoyzwoIR90FJ++Iutq3hgL+XtNOXyvGL
gcboys52pxNF7mLMtbqbGeZu2riTxrrUD4kD/BXFfbnDrLTdkios12kx1DeiWLqwvT+zNE9/NgCs
tvW0gflPT5FZzGohZUKEHYjXU51nEgYYjvzVwbUDbCWXCUKkhsQPIjVzsnEsA+6Za7SzXdA3XW3h
0b+JP3dUBY8JYS9P9op7g5tIVme4ihhmrLrAV/CoVSq8ACyItMJPVaMDJ8y18b1VrMWDUPBfd2ei
QHCjmI31AcF7NnlSVtOE7ACaIk0FCdekUuNzqv39QKzahTfx2v6FTQs0QJJs6Hqe7M+YmUS9bOQi
bBHueSScDUFf4rTy9kp7BdPZlETIT3jnsMJObZ1SxAlWTeRjuERqD4t8sq9MTlMXu8/eNbQ26DrJ
udMjWo1altR4oqIHFE1/yX/4/F623a9JnIDzDVR9muVFEh8CHFqXYSzTjF3hERL3N5phm/eh1qa3
eVWY7xZ1yX0li6ILcPzZ4FsvYHOPB+DC+OzMeDEbOyD5ZQyHdhT7rAYros+eHAjWc5DXS+bBFLp0
01BCP5qjpV24fbPNnNYZjLtdSTcBHb78px+bq3ZktmuihZtQ5mNMq2p0BwtRIxZ7XBIwVJYFZOB8
frfK6Yzvtpi7h3Vk9gZTPo7Xslo1qa8M6B89W8KD102mRbVB5xbNChLHyuyrfG1w8osLa8QvbNZI
cLarbPyNLQZwCJhE0bo5fOc9txPUJxaY+uPS20SqCt3pv+l1AjwWmdWguCPeOaA0dQvKJY+qAPGR
ijmU+6kqPbhQYmS7xqOEZpgV4Qlep2vnJnlrOL7exnAPs6ZDUhZbneK4JNUvzUFpUV7jgKLmkd+s
jUR3vO6c1R/pdEdBNI4pRcKQEuZct8bkK5006R7d5UThvO2kiuOosMCijKh/qhADxN4ijKX0pDZ1
clxCjcWvG8360mPCnO3MhCPbNSbw/51SEOgKNpuL1M2iXMcQocKM+9A6zuTsBRbokqvn5tg9XE/9
vDhXa2/gFSwUYb+vtJq2/TxJ/aNlTzivb5xub7aNRAqUOI3RGTVZcz11vfWTXan6BlJWS17TmgvQ
DgLHG3UY25vZtoofiVQsa5AnLXYNGUWN8EfyB7kgGMUSIbsqrHd9H8d0RlDLKj723Nl3u7PtjwY8
TjtIZ+wevE5E31YH2wR3jIuldg2rTitXwn/pwU5srJrtGs3q2uCz5kl0h5G4qRVT/u1N5exMhQ0I
1w5LehYVe9jJJXe2CjhO0aiELWw1mFH96BYp/KRh5Wh9e6izAn0bCmm9vJWXuCqcnKoWDQUzBq0M
cS+PvWwylKsW7a2PubL0k+0/DqjciwtKmPNNky4dJQPHEwgsF57trH9RO8cz4RZggkqIJ7p6AAIv
ryghdA/JFiklAvuKFQPjXW5JzX4qsVptRsBw267qCxvX+SnP8cBL5p5gUWefpShIOnBaYq9aCGkZ
W3NpszIvumn1y2Kq99zyNKI9mK0i9qwmwdRLjtJ3LLb61paT5YOhLtdrb5XBUi/euorsfpCbeD8Y
xnSPy5XYrXlXX3h757MDPjCXTHz7N+fg0xscLtADIKswwjyNZd/BSADKwJi4WG59f3tyYLF5tq8y
FtIcKklmJJ234w8Fm8txuqIjD44s6uRJ0xLrLi1hJAcFc+nBrtPhez0l42csCiyVu/FGHhgsqZLc
5KcqPwmlb8WHrm2sz7M1dh+7hnUYFE5yXVa4O8bmWNmbOfVyrdf5j7jW1k8wfKUvGmSc3O3HKJHY
1NCLUGgI6uVSXbruYOZGUhIIL81SoLf5hCEG5n1ASsu8BI3jiBXYu6aix+uxfTSiBXAPVKPXXTtz
JJqTkRx91Mgnsvw5NnGGrWytN/dKppXwA232ZUDw1bxbMPDuvRiyYxjNqv6zgpJ10wKCo3qMIVOQ
1jBlmK7XKfie0QybMRloMA6CPNguQ2LTgpYb/W1vFlOHpeq43ikCt5hGj/EZtOciznZQbjmUBV+w
2ilSY3xTaiydqStn7Sv7dnTbx4b5aRo3b4DRkpMsnGdTQOsra+1hIEn8WhWRHRAlZOCnhiskjvZj
Rcc5tnkUDzPr1PKMeUq2Bgt9B58/V8VO75TmaY7+h7kzW24bydLwE2EC+3ILkBQpSrIs2dpuELbL
xg4ktkQCTz8f3D0zFqUWo+pqoiO6I6pdTgLI5eR//kUS5kz1Ei9Rzv9gP12gaIo6M1UvGI1wjPh+
rq1JzHWRhnleFg/0XNOXPIinizw2nAvamrAU09LTGupKN/syzHWD9ZZXias4kJN+sWQlF6zRH/UL
6C3mp7pMVsv2MvuZ+nnh4JTvpxWknUotO6G8dNoMqpm/JVPv31adnaL9tGrxZbDRIYYTJfNzlQbq
Xvg+nzKGUnkB36QIooQtnN6uMGmIwoBotK1ZuPEQjbCDbhKcdW9jgygroeEBbNd7w8uuLCGzh4r0
DrTCk+KgyxflEdBhiu6XPgTIrmRbMzOGLKunTTB3AvOBHg8gA7eF4aKMiYUVHjbdYYy+CEVYljW7
JdWCa1z7u5uhgsW0M2RC41qSOHPTdUujh7lX4eYGFyjnHzdZSdKi23gq6iDc1iGKhulnDMxVhgJH
r1tl1VaxsdNl9LZ13RqYIEz1gcZpdW0wkUkv7bjW8Q+VZYSVlWeYJ4xz+iUThfu0aE0FStjJ4Fvq
6SSQtMRN/TUUxbfG9PSXdlq05bpsRHkjbDu947qDgZ6kqf0Z27If86RGoh4gA12BfvqRpMxuQy9O
ipl+sATswHzNvXNtZX7O+AM//Dz5RPyZwbUC5SgUj1kX5g5vuuK5tbTnOC7VJ1HopFPbdnERz1bx
qYXmiTtfKzVKGbIfyt3c9RgOJ9okmy0xgLzcET4CZ3Er4xdDF/7zABnpwYBHO4W1PnYhydVlGg5z
LPgQytUf3Skeh5ATrb3Lispzt9jcee1G0p+gk47q8iIHm8cBqmhIHgzGqzko3XTnD5ZbYn2SJXmY
BkKsnWfb4Q3XVkCiGoYdZmRQY91RGtqA+YmtfQ/IZpCgkp4vw9lL52dbq4MyMup6uU3wX5hDKKo1
21LlVy9CyvQrfZrinIHCb4eRV9c+SgVERfwHeh0+FiclA0iyKbJBdy+pOLMuip3BSC6ImzCabZMK
+7s7iudGtq19qbkpLn8Lvv11XDY/GtXJv6QSMXQ7ZJjhoCeHuBq0I5uQ/aNUVbCfPQTWiSdxBfQz
8RMqtgW9oU3n78oqS8TmXP7+qkshzxzObzlTIBeUuxR9aw8crd3r06flSqGg9vqXMpvbjY59yxfB
nXKOBlrDMYzf2bHZAfKMRISFW1FUaPNy59b5IDZNpmziM2pZmvD2QWDwaoaUWo4wPMnwMeLvpZrt
IBpxWezCqS3aPRl6Qx/13qTDIdSFZWxG0yqrsCgHJ6aOrOPqYi4G81BBhv5FXZUkYZw5+WNacyAx
e4XAxjKo2aBiMWMNrwVOH85Sck8WU5FJ0iqG6pGMc/k4uC026yhc3S+qUz0q4DooFBdDu8GJElEH
6AAbIju6macvXtFpHtVZkA5hLfr+ZagK65sN+WNbGMJ+imM2Mq4s+OyHZqf0m4yG7H1ZBMrF8j+1
cZ6AxpyHbjPN22Q04x1C6Ap3RhDtKtJhm107WTIvl7Kp3X039zNRKGYyPtX6QtyEmVd1h2d6yq4M
feql6OCAn8Nb1obG6xmMtAoXMZShgbeS8l5/bL+SsiUgZj2OCg//UxkU402qmfMnu3JuRZPHF0bA
+Q4vyfjm8Wg/TF9OtyRQwCVNk5rWAFEf8SardA1a1Fgb6aXvx/FPCM6wXgicKTewipJ4F3elY3Ds
mPrf9UWmVrdtpusKeJvYi5xMWHYMbi32EFwqQ7MJFPGCMLXt+cyrMt4W7SQOw65ce9203k7NZxXh
0hzWWnCZkOF4040yv5y6Zb7xbVWzvsd+u3AB3kxxB0u2bpy93zvFVY+JBilDtn/Td6J/7hRMQSdJ
4wvwnOkw66glPi4f36IC4I8AEtzLVytf7+RuUc9s912tF8eulXJTJdluMCD4lcZwsGwSJtnVib2B
DOqI4fHjoX/fW17PpnVseCMAM/SbThsPQar8sVFaAasuljaerLL9ofl6cWeNDRZXBrEjrq29dGlv
3rLF0HNZULn7yX3hoP4O52WwblO9/Qlq19xOGnZrgxi1y6pOsWHKqkFGq/cH13e8dK5me7RJU8yD
OqowgMdMQBeXtWdpT87Y1egFii4hJ2lU8iWVpSBwZsgFnbhE086Z+6yr5PS5ARlcTMV0etH2yTsv
M/pncZ2Wx0ZV41bHD+aiQLK+/fj1vhEN4J3AtdEK4I3TrnJ/4zF/XOBAz+0l0VrCEHK42w3c8a0U
vgG9DdKjFv/08tLcEdY5HtrSdg5AFzJUk17uAxl3XxsPA1mkNPEmTow5nJXPnV5rvgJblDeF5WdX
GQmqW6AG7cwPf3ufof8IVE3fG/tU+mCvNxlXDLqYkCId6RB6cMld88lbg4PZC7SjaVOczSMBS6Fh
qf7Mte2doWHY4wpEzwi69RuqdeFY0J/74miPotyMojIvrdXFt4NIed3labL1YkALTu/hzH7x9sKI
vm3Vk7A9Yd5z6m0FipvWpN0WR+Ho6sBns7dxbnvUL+qcp+Hbh4SlRkYAiDlqQf8UhwvK2U+WNK2O
dGjnvYGY+ZPsPXFbYn+0HXJb28CplN8dfVBfP56Sb/dE3i7cB9osUNnt04xw5Qubcy2pjj6r7SKj
8nkUttEeCLDND4GG8UIjhXHmm75dbeCJEFKI6AQA5W71ejoNlJP9uPC4vZ6DixPyGHJjPueE895L
/XOUk5OxMGwomnNVHcfJ7ndVwoHnkg+4TTRYtl4zUMmu+EQ3YB/78Ut9E2aM77eBbR7TB1My+mbr
1PpjnacTXqWLO5dHVDXdL/x4UgtlRBxjjtMqIt1IlA0zJ5lQX+OuFgWQMh4MPSlIPBGB/kAqpH8T
G+70iAGISWyar1SBcyNRRmGldeOx6LoCmFyM1p2umvGlIJitwY4WrSs+LNXsRdZfcW0yT+sMzDWE
Rm/vvaW0nioK0q+OK8QL+kL5DXJtsFvike6+nDyKHvdWmGNw68iBMmcZVzPDqvuZ1AW3DS4N7QxX
HbPvm5o7gaC/H+AxxPGtddFctsQvEwLnVZFKc5dNP074K8tF+ZtAc4ZPtfTpuSZ60HwzhoLnagHs
Ei668OkjLlMmP8I1a3uXkMEWEwJXjl/FQgj6RTmV9ksyNOqKXrt5bvN/s9BXBx3gf7ibnF5Eabz+
WkWnOkwvyvjSxOBvZ8ZzA5MSEmUdNNqZPeXNcluHwmyeBAjOAuN0N9Mg2S2JPcaXap6sjQyQSWmu
XWxEv3rBaoK+NB7G0cfT8c1CYFD8FYEpaerT6jhZbom/TLPysviyhTSKAt6tvjdJAvis5dmOeCl/
Y8ya8cOVlth/PPLvA+3VuboOjfh5peSsjpIna9A0+mpWBc8r03i50NHpbfUmtXfuiFUDG356bKbc
u677UXDNRFc0w26/NiicMVic/26oDdwyViM0KMhBAMWnbWxfxPNEZmgMJZgaJAE02YmqaTZoSlsa
jxQbuet++fgVvPPF8TlBm4gVhgUt6aS2rcbYMbvJ1S7HTgVbsoiKi7Jw71p3ai+h8/S7ziiePh7y
nfkMM5SeGuouqByn0ktmQOJVlPOXGYLjbYUYca+kKMgRtZ8/HuktNcnlvFqtktDDwB91TpZO4Ge1
nmhFcnRGYm434Bzep7FMrOvZErQ2V5k6vsOpcTk20q53frkQ3K4xA67tUhpxKDt9zaVkseAvje21
XPMKa3PLHcxJd70xFeBATjZdtpOAsbXktpmGo3Ccq27MCB8xEjCo3oAOgX0QXAJUhlNL1KHvpsmF
VGn5ZBrTpZ62HuVkXnNBIi42+YlHEI0YL3baq0RLmXtIxxCB+O3Y0oJs7ODw8Xt6i9yv74l5t7bF
mQin8Ub0h5PG9nhPbpZp+6p1hnva/0THWka1z8bRPIy0wTcp6tHrVu+b68SJ+x9ebQ3bj3/Jb6Ln
yYqEObIG+YDgU+yelHJBPNZBSh/7WMdad8jKsruY+xxGQNd48Y0jmvqh8vqDPY7aNs7wUw0DPWn9
i2yNvN31SAE6eGRuc2WhKRBRiZQlJwAz0c2NQf7Esqe87dnwl3Z+ymH7NQghBAL5xQo6RDQ1AQlb
kijFzcTX8FcwAhIZ8Qv1gputgxFDFpQDwCfX/we7noy70ZsKbrfxvCQ7U2jTF3OEeUbLqfOsbe3N
dRrhSzE91mmKb+uAyivHcJSIhYiyrvdJdIUWu8UtwYjWGoz7nZ3DOGCDiP/qvA5ByVJZQ4t3LCr7
smq9e/IpyNgMcn++//jlv9kLfu89PksFB1+0FCerhUK1oGekJ0cWZrmxfF6lTRjlhqBLdSh8iCBG
M3gXHw/K9Zbz69Unh+vMqcNCXZu9b7oRhgRbXhJVHWfcMVQ0OFmvolpbHA8tTSWOrWWp7yBkZLWW
5qTYegFXzb2bW6MMgwlhR6iCchKUFvn4xRwc+QmGWr6pRmI3QlfPsQS1aPd70eAtWn1dsh9qIQkS
tb2pUCf8SBAilPjh9YPacjai/rKDavgyTBpax8Fu3GqrplJ+8zS3fwn61rd3ulJA/ym5hPYmm5LA
2TuNNs7RBEW93wwY32UIybK02GkYnCMWo2VRR6Dh5Mo1E7oXAbv50pT9cwI3Ay/aXxXvBoHQQGqu
SijjMyYafJLuc5ZMGyRWZjTXwxD5mXPbIlC6nBedXYuqFHbHEqpuElvYcMY9etlrZ1i+Fmpt0Qjj
4LqdvXURJxpxsu3T6m7pujachmTcT6lKLmlKMqslbfUQQqXxCBm1icDjvy+DSSBE5pRhQ7d1CIld
xqUk1rsi6u2JGF/OlFDXHhe/3JKUeE/gLrDyXNyh0GuezTwLm65wfdrMxtM0pH4ZlcGiQ5hoISQ6
3b0WQympU2mGQWkjsKtlfkOUjNpjhmIf4gEnPafG+BS7gVvVBFDI5nwFeOY7N/Nux6ouIr+Qnx13
2C810p7pUNfuS+6QBeP4OCRojrMT/oivgsLusM3lZzdfQAkzwlSUNT8Wv8Fdm6BHQnluqPW2dJSG
UPexr0kIi520X6miDWeT40uHwrhebP0wT+4+8cG65xgVmd1aF1NqTdGkA+oFYH/agsmtaVW08Y2R
yJdqCh2j/1S39VbPva9klSQXbhf3yF9QTDl4qebdTx9y9Q43PiOD3dH5tx2oaxd15J9UG2LnnX1L
wu51VRHzBxK+Xi8tRVeBiJbmkA2ZdWG38hZbhUdlFI96kyM49JcKRWUVXBDT+x3NwSXaNLCZVJRI
c/2UlpnDdUo41+M4a78c+mAH4m/8l4Q96Jsqyj0I6y+3aHcyCR6Je10Otmjjuzmnk2r27Y3mJUS5
8rfF2sC/3uEGEBzRLnrRUkE87mDCbiaT5YMz4dCV1z4H8L3EWV7q7l6zrPvYr+6cxaRfFkNqMaFa
/aDtdhlP8YU9+d+0QnlbDMAJlfXihxUZw4ljamnSjyOAcEt3MOuxnO5QpYfEzlwFqXtvEzd9qICf
skb7QuDbV9gjN6psD42dRM60JJELRrbx0xTmcCmTfl+o+Ub3UXNmlrOm9yTYwVi5hkd3ZkVKbeoe
LiH7w5dSTwyYRt7VGFR39Vx8q52UL97I67bPLlJBq5B8+ZfW0FDIStxIq7mnd2vhK02G7xgNDXGu
c4nGOiMVKe/Vvc+diIEW0NwIxHv6gheD8WKRV9GGrSbyz4QuZfouM0zGwSnp1hBr24FXWJPdA9sI
uy8gsNLsr/Lanl/gIaX5lnzRNgVjGQGofBezFC4+BPCEdpKNBAD7SwNpByAal9QBtxN3RLAc8Zsa
+jRy4C1bxWg++m5mfGPfBMgi1z1+cnuv/5w7XO8bLXd+ULDzzwKaTQRExPeE73jVTps9WkdN6Sd3
dUdPZmfawrqmsB+u40x113O6MCfT3iF/t7d1bTiQQdS+eJNwxk0l6+6vYUL4sfn4eHlzuYDBtWre
4E85IGfuyeWiXanzq3/vkZsfivyUaMfbvuotUnxq4sFtT7uMaesTCaDX/+ZP/S0N2ofqslc6tP+o
Vvv/qEGDi4ZmYhWk/GcR2m9/v9tvYvz2yhnw//7Vf6vPLGc19sM8D3MyKm6P+8K/1WeW8V9oknxM
qqgHfxv0/a/6TP8vD64JAjMP5Gu1yKaq+B/1mU0sHHD9ysylawYHxPs7xn5vyhMILehiV6ANqxiK
0tfX7xpPYWMWLslhxIo3BzTusbqYBgSMf7yc238VPH/63r0dB5XP6qKBmyyv4tQwl1a6Ziyd0R2l
6u3vhBEHFz6kvnNhmW/ge8yt1xsmEUEYRhmnt+3cGRcob1V/BLnvFEL9VttW1WD4MNdIC2tFle9s
E/5D2fX6g7Qy/QzG8Ob6R4rNOjTEHDqr4Myv3ycq2wAYb+6PeiGmzcjueA/a1h5TlF+PH7/Sty2V
1SwSmBSeC9dAet+vx7Ip882xtOSxkHWNE/4irzIosFvZubDl/G7aTcXMoSuGbo9fPPef0oxvxtmK
Iwcl8WF0xukJeKyLTFge4QyMcJTd2Hz5+He++fT8TNRdTFg++8qaf/0zY/hoQ92a8thxpN5kxVKH
hS7UmRzt9Sr/qs6GYs39jvwb/MjWFJyTUfwFokuHsq6yqjGLVFahG9fLpbrzcULwMf/OILB//GQn
DvPcjH/zuoEXmHGINE8frS2S0tARkR1tq8enwU3VbZYv9pXUlX1tuv3wWSnHPbRToP2gyk02gei6
49jSlM0sG7HhvJwTkrw5Etaf5CC+hqW2xpasK+QP9HMSlQCkXH9SG4w/S6Ov91Ia6qJ0CFmUlpE+
173roXqcZXbuevvOJwAxNVZbZDiAp3O/9RrDiudsOjoxnsy22WUPWLIVF07Xnst9fnOZW5+S6BJw
bJd+zil1QF+8wcUsYTqOMUVPVNujuiISq88j14zzrdv3JFpni/vj4w/+zlTm6oiuhcsqIppT93PY
newvbT8di8a1vpn1YB9xt5o3H4/y3ieECY+ODoNFZP8ne7JfKzcJpDYdzRjfj8mS+kuamrUROVIz
jUtH/mY0rQylSsvFcvHx6O/sYNhIrn0XJMFEhZ7UFKWpRKrseDom4Pcb5eHpJ+LpaVqGs47f6191
umYDHnAdBTz2NJ8Jc4gE45RCHRc9jX9qqWN9NpZy2tiZ+uXYcL1kMhvTPofp8tQNs5jCOR30Y1nM
41M56tltZ4/DGT/Nd04Q7EvWvGPLpxn0OwDrj/WD5Y+caqdUx4RG9l4uCo0Z/L0j/dTpqQ5y52UQ
M7loI9jlD68wzegfvH4OyLXtRnaFfrJ+iXLRc9fL1dGtZfUdY/N519u2CKcp6cWZ/evdZwUgXjXJ
Ds2gk7EYxWuhzKjjYI55lOOSiF6zq9P9OATNZ1V78qaEthL5uYXkjkv9mVbNexN9VcYGFvGToJgn
h6VBMr0ccG89JlOLXdjKVaF1XRy6+TuNMcDGHmrfdtXqnTOROskx+71zgwGBC9J4WPsPJ48uYOh6
NPuno0UT93Oaq2QngsF+GoKu3mbSKr/6Kk9bjC37hQCiYPwU4PlwXcsk/uXnY426c9HubNz5b5O+
l5/T0fYjZxbJNyiA2SGt47/n3P3vX7z+WgooHUz/5BfP2K8vvXQnKotc7FruUxtLy35IJx73H0/B
dz4La9JEt0aJyTa07oJ/LIEsNeOl8jJ17NJqPmiZbT2nbd/sqk4ZN3Usx8vE0cwtXN9zKZPv7K8Q
ATyUblQ22FqfPGMTwD/N9Uods1HIrUJMt8M5qjuzxN/Z4WhFUHWzvUHzWEvyP58PT9ZKUJSoYysG
sa2Npv40eOO0JUEoO1OVvFMhmHDAKP2ZYxzIv60B/niXWt5CuKsTddRn/kS0xlm0OLn1dF25E+TX
CuYwPjAxbgihlc6LsbVUTb8xnqvse9KgiYvwCUwPqiymc/2wt2+bbZ5NTsdb28Dr6uQ95DVGgwFZ
OEcNpvpWFGW/b702+9uz6fUoJz0YAYfU8NNkOiq9+45J+MPou4d+Uo+djUi5JT4ttsevH8/gt18Y
kJ3UesgSkJsY//UXBvBHDlGt5YFXeQ+i7a0Xu8jXoGA/Vj//wVhYCdBhQ5eAfeTrsfCqorKSLWMV
+HTo9qS2mjlo8LtIA/4nQ2HDbq0xWOgkXw9lZdB2E5PHKuNB2+MKVe5dvap3yvf/NisMUTeiOZ0l
srp3nvYOubzMqkqn6WisMG8/dNVliZ72HFuSH/y6AFhH+VczBCbCqT4ST/neKnU1HQcvb3cl/mVB
+knoWISpJm0iu3bOad/emfOMSKuZRYktwinZw9XawdQHXiFwTEMR7mtXUEzzMyk5786/lWHBt4Ji
oZ/czJgIZlV7y3SkUeZspZagApiEH9UWzOCP58R7D8Q8h8RHxU/lfzL9CMH1U5tU9ONAjF6It7C+
bZPS3X48ytvb1Sp5wXBwbZyvaTyvZx4uy56oMac7tra8jOEThD7006ifZRJWIze6fzAc4nvfoUuP
RvHkoYx6ska34qzLpty/Xr1hbtGIer+kbmh7qK3n2InvvUQ6Q5x5IDH898njYXIImlxIdYzbooqx
81uwAM58SIkfP9dvc9eTCc8AMCBJjOM0OI2JxjgwsATecMcs4ZjFK26pSRovC/vg99yoNqXfTij1
Ck/C7HBl0MMDLgcduIJT4Uyl+c5Dr7coF7cB4iWYqq+/Kem+RjkWUj/2hSK7NW6fMvCm3cdP/M5K
cKAeELULDM9Jc3KbwGZupmXY6UdbGKuPY+p+NrkYHuzWx4zk47HWXf3k5WKFT4oGPAuEaKc8wiVb
zKRIOnnMCijxigi7AnVjtmwbnMU3ZddlZLQ70xjlmZY9zx38vo9/wHsP++cPOHlYbAEMeIyjPILd
2zsv12gHSU3dakajDh8P9d7H+3Oo9f//o65oJF6YXjEAdzSk9UGyxmCkKM6hWe+PwlWIYowj55S0
i7ByibtpkkfcMeVhsNriWsuX+u9XCHy3/xvlZCIus+/RW5nBsXyyRgXzMpwSeOoVUH5Up2D1Yx6E
/eCemZtvQYT12kOGAXd6lqN/UiVYGtWAnQJM2ZqVbyiG003sGvGtSGApaDosqLFr/z4+w6DwxX/P
UKDXk4dNacXP0ge0owlbPtG+qI92LofbPEbMgWAY40/cHW+XWGvOOD29Nzsd0srY3lAogMa9njK6
LxtY5DyuNi3ykCTyyZcCZJAew5md5bfI4XQlAvVRwLscTJiavR5qwq6ixoNmOuZ2pS7MbFDImbtS
v8SM0IdVvRioHKz+CLOMwIIGC1NM2IOLPEHWAIt1QEgb4BM4zDrl+eDt4oWm7scL6L3K3AEn49CE
eLnWbq9/o8B8y8UVfDpq3AJCH0uGa2GDdfhFu8GDMdn4nN2bhhgPLP3BA+gKmZf+Ypuh0uD4Lm4h
vnz8k979QNDwwUiJP3tjEA9dyzG6UZfHXDjJhebn6VdzMebLpTtLz3x36q9uX6skk2P2ZBbOFYJ7
YfDw2BcJtctUVdHdthP6b74zWNc6fbEJ+9K0PVMZvTfwSodbib1Ul/rJzGgJD7e9uaCETb2y2LgQ
i66Q4qR5WEkXPdyEznlfCfNc6bw+0OmMZKUHHPJUfv5p8LspMO12U537PkK8z1aJh2bba9iFWjjU
L/2i33/8Ld/bOcGjuUcz+0HnT15wstSGm/kBtx45tAZSmppLz5zb/2gYVjVQxuq2eYKg1KTfIv2e
KTT7obgrjF596jlxzuwc7748uoxUC7SrYJu9Xioz5gCLmMCUDW1IXrTUBWH1vey5nKbmaSqKcwnY
700ShqIjBence3MtMOIOBkbHeHHd0r1GjTrckAthRxpR3CoqrQAkxmqGM3PzvfVHzLf9m5oFc+/k
ZRYm6TxpmaojK93funUhdhN8qMslNZ0zO+S7b/SPoU42H8KfnAVtFuvPolkBai7CxBiv9Ng+tMP/
2IX+R+fFd98nHhO/ryPMlZPR0KWbnWiZjChi3f1UYzsX9EF6kCKwtzM2MgkSMNPZfrwE3ntGKj7i
MZmfsCFPlrpZj1VV5Cw5P3FK6N4Dzr9TZ14tqY4rwZD39e7jAf+Vr3O6yn+zu1bLNhDskxOd8JKi
Z9fWjkvfAF4HrYIL0Hk2pvBx6UbFmJYPZuUXNba/9GmiRpXZAZ/M+VJbGgvaS1AGeyNp8uQilw5c
DMJkFnfHXGucjTmqHrVtm8m/SCPp+NOYn6Whq6C1ru4WaEcp0lMZzalWPBBIb+gh9BOD8MzUIiMg
sZ3S2PTpkCZRQQ6wQQ6LE//K/Sn+y+RmLzZO6mZPylFEQgTYCgyrnRu5wJOmmVHc2vknmAU6KdMz
ir+050/VSg+elz7LZxRKVXpvzB2560ZqwwBp17M+8gRyf2xzxhT/nj7TmxCqd5fTAMxdcW0Bg76o
InUuFDZuMxpDf3opx8qFO4FDzVNbSTF/BidCM5qYYtiKSWSHvF3Fbu2IzBrRiZXd+FlllluzVHa3
EUXcmzusqWS6acuxeSnzqdcQJ7VElLctJtubVQ3oYultxvZG5vaajOMiAQ1hxvQH/lrzF8ynJEMe
3FljiE6nIGBgbOLPTUZ9jWzZdK6KRfrXbtoFYlsmarzD+iR5sZ1F7YygL/TPeQ/bPDSqvGrDvBhz
MxqNBEQZupq+z5q8zrBUVrUfBbNZwPOpffdqsWO7Q7hbWwkuCmlnXSGDbf/S9Kz9Wlmt1YW6zMd7
8rF8+3Kk9/cwoYbvo6XTG+PGpIdx4dcZQKJHh0DnFlcGcZg1gUQt4A3xU10Z5oAImXMDulvlz3vk
/TP1xDBmKV9qLp3Idfr+V+UOAIFdQxAJx7EzXqP7VmjzRh1pLEnZhRGlJcbP2xYRQrEVMY4fYWGm
nrunsTt/XuxGThTMXoGIcikGHMvn3P/a2g0ul1ZSNz/xDFTJfvTy7JJm5OiEmt/ovyCtdvBgncSO
kfUb8YPujgVMG6NF7d9YRr5cVwgrHiw50L6vp2UMVeIOgBsqqa9jVeMW2ve9Oo5lL772yrPh2kjd
3JX6bP0Mlg6ddzUzUSNchfC5MbG+fUF0PD36HcbmIWImiGSahc9AxaLaI/G3MSMacvhH6RA4n9I5
8FLcDuxC7glBKDkbJtfQNkK58wNuc+OvRdC3CT3MG9LQ06bBwH3dt4dNguLwEb/vdAqhF1n3eN+2
BzmZ2gAvqp+XW8/ih6N6M5AMW7CeHj2criZsKnEfxJ0mS7530vUu+cDpr1abB5M63fGbe3dxUhWi
OelKQg0cSWU9F7CJa1kswf3CD7kH7ia4Cft+/7LvsGkMJ9HhazXyUfQdxggkDwVDbyFAN+C/bZ3S
xZd8rLgMMClKEtK7NBjMDcwG2GBLVyyPlg5FIyJ/GNsk24a/sS1AVX/kegpJafCk00Veb5MeYtbw
SzfD0iFCzTSzfk6aRps2RZ8MZCTEnGv1NPbOZjQXubHVastnWkVCykNhdAAvpqVC5AXwHMWshnJD
yO04RF48exuY2uLLiK763io67zs3Jxx5mjHH952Jwj6L1oAtgByePtS7Jb213Z5kE+JSmq+Ln1jQ
+II0F+xuNREF3LbGK0PBzAzrls0tIqats6Dpdsa9p/XtEA7tZJcb7M2LX+aSOUZE9gXJAJPeBk+4
NyCDK7qioliu8jKcAlE9JMryskiXbWuFBY33hzHPA2wy9LqF2lkH/UsLuPmU+F6sb73BMZrdJBNg
Or2Pcb4TRYepUZqYBvENCjnWRi9a099YZS7ncJ2KPE3g9F6IJxkMUq2U7nzIHJsjwBOtcU8m9fIt
U2tqFyJeqCYDnbDnsjC7jT2UyHj6LnlMEHB/JkKrTrd6jxn9BvwAXJworOwzt/o65t9yKljeiGC/
NF0n0I1jNYEVGsEXsPdras9QVVm5bNXsds7nwh/m/LDq1m7qKunyra80kqNHqVnqDirDbPaRpTXD
0U7zMY1wySL3Qiwqc24wqWzzzeiWab4RWoDuNZnKuA19kfrDjjg162p1H0pCTzmNtyOtNlVXhqPB
p8kxUILNqFuzRR/F77ZQxIuNGuak2hKOpp56UdnLd3Moy5vGmiUxTSr2nlXTTz9o8egvvp5Y61/Q
jhxd+MXXoVMPVbsh0SW+n9wctKw1e42dwZBYOYh5cbOwN5V9F4z1ugWlY7GPpTn+4A8XG6cYh3s5
atYvz5rieldXTmVFbGS+fpl3qLGSUGsK3Yo6HUbwTi+b7DHTF25BWQBgvVV1Z3EdGRJR4VtJrx2J
gwsoGEjfITe3cMoflqzbG9NpKo/yPpvFNudTDGFAoNkcakp0ARcovI1R0w/qOR0gVUUiGJdn0tba
LEqJSurDdHGS+zat8eFvimbE0GU0zE9maZjfVZvDCMbIwJIcFI1s9tXS0mLo0RM1O5ZxQPxDpk03
sRfU9wW445VeyfxTAlPIv2qcznoaY9PDI7JpvCe7jZefTuvBCE0wlAnJfuhKziUztraJ0xXphTOi
0WG19xxDwyKL8WnlWHCI5rP1bI7unG1XGLEOM0PpXtjheNVv7d6Gzw852vy1ykPK0Jz0PNssonUB
33py2kMzn7VP1oRII2L5kRdbD8LTr+Za97qdkxkJTWfZtduyL1LIr8BN+3SW2nFcvBmiVoLRkY2T
8IPu952/cebWXo9CGohbxxLB16oXDaUeLLbvXVVN0wXHx5RsVNPFbqRizWZJWXP+pfPWms0t7Oyi
a1v69qlw8OLBnjTpNj2aM7jDZd+TXeGRXRlKKzG6MHZ6HDWoMtonYmtMYzNZVYUdB6g14mhP6T/c
ecnTjfAFvcqgJ9YEMU68z2nWO5v/Zu5MluNGsnT9Km29bpRhHha9iZkIkRRFUZS0gSk1YJ5nPP39
XNm3W4FABYzVm66sRZopTR7ucPdz/Jx/kKuoejAqFRUDNbIy64sCDaXcaw17cm/U6mjs/CIK+22Q
Zu0pKBFcOPg2TJwt+SvINU5Zghw3ukD+vdplE5oPOTptrDHyMFuzVzGLUY06fMalSn/KQdarhyiS
JQnKQNdNe4xj8GYqrF77gOIXxt/0PYMNfoqICzaqr32RG0A7bqxLzZOqNSQRUTs0z1XXIf7hAMFF
7ArbTkR4tIEKvKU34lPXsgNDHx9BoOdd6hZdgSlLMvXxB/Soik9FYdOprMJcjXdNORZfKvQvciA5
inMsI9X/pPUAT/b4m02fubBsYjg4OkKvnxqfgshSfiFuhfydSiaFYaEdNSe0x1lusjt244Drh75p
M3EvlaqfNVsaxvmj1gAhIDXUwntwzEqxDQsT36LBdiJ+PVYumKn16DW3bdE/1iCHvto8uHJR2ile
QewBjlKrGl5eGVX+J2QRo+9qmnt8A9ys3vfo5oKnxbv7pxK3qAbpoLnDQ2YFMcBhbv0ojpOz1SX+
I/LP5f1/IJWhp4E8KmdyDusk+aP1FFVoTW7+o9KdqnE0kGqN3XmvA6yUxzDy2ve3H0OLNTjKD4IL
C7CTbtflo70w+PXdxGs2pPhxsECaHRvTqp4kzfO/WG2YE/I8BGE6JXlVJqN6RUdbvevHSVxk3gQn
KvH2fYXAEP6Q6k+YYfbPlZ+4VCSB2g61HMge7PbZuzTgKh2KBKwLumS9t2ED5A/QhptTYFnpSz4Y
GtIuSg+Cc5QPAdqd3A9J2uzrOIV/26t3Ogyiz4Gcwbu4/dOWfhmgRYo3FI3o381qpaZUyxN2oLxd
7apDZgp/zArc10oR/5qZRkZt0h8BByxTXJl3LNAK88PR0ftzjrApj1J9GjYo69aPkqRn+9w0phcF
E6kDKpqRWxQmybhihHD76t5e68UuVT8oDItqIMU5sEeX+4Vw0Tu2wLZB03ReOrkbqd6G4ztozf3K
Q32pMgArStRa+OzyvPoY8RDKkK3szpmTyQ9a1IPMT1UTfbAukO/VAWmt259TvPuv6gKoFmMbJ5qy
c5Jx0ZmSkuRRfw4aE1eYzvZBcKHkau26SercKMcb04mz7KnKrFrdyo4/rpTQxIaZ/wIUYmBiaWg4
c6Fdri75maeQtFMPLORWFQq20lOr69G3VhuHz5onZ9neDDVvk0t1sYJ3WVpui4YYSA8sQQG3XY6d
TONQSCG9fCdQgmPVt9nHsJTtc8cT6kOdGWsukIvj0bmVwdBT9vl9M/3Rm6q6Ks6DgZY0Smg7uYxG
iL4oNGE2ZW51u18pgS59W6GWAqBHXCTzfStlhtTaUE7O02TXvNjl/k6uJO2rF8fmE3Xt6GGYumZv
J0Z6VxYOz6zbe2upuEZBGY8jR6fqdNXr91Jn8GRAbPgSNnsP9aVzo6vDM4wl88uAXOpRliyEMG+P
unRBUdEDCMLVAa1DfIM/1hj8KzgsswLDlCgWHlVBvm+DrvoXdq1Q9WdiQk99btER4e1aQtYazpY/
du9thKEPqBBgxYuj17RTGi2/66eMdkFqeivIqYXryAS/r8qC7aCD6L6cIIpr1kRPBhAaYH+qh2is
GnrqbyapXhMiWxwKuCX9CMANME0vh5IqP9GsshzOLIP/amnpiGoYl8M+ytQ1R46F3Qrg0gZiinIn
Vqmzs2igrgvuK+Ru9SZR4nKopLRaS12ukVr5QxtiTAj4RQYLkBtxAynVQcZud3vzLMEQQFuiVGaA
nhbY/MsZ+709UpurxjMGVXK3qQdnQr5Pc/7ieCrI8GIo+EMeq6A7GEMavRuxEVKwwrOttYt5YRuL
uI8/Cpo8iBTMtrEsd4Wt+GQA0qDGp1K3jXvKU8lKnF0chYYrHQzoxsq88wnksIK5yF6CnZXexaS+
1N/C6XB7VRe2kUXzANYJ4lEqWLDLRc2sdMqyqh3OeWWYr6Oa1fc16fWrVGcMeHushXBCoxBkDOBV
krzficUfxx8fNxwpTIfT0VrNFp9usIVaP8VfyVTNvW1WPEotFfkcuzSUlUthYQszMCBNmvaOcJK4
nKdN8XvSNdIDcOI1bwOEevM9rXT4slx+JZK/9Pa+dL0C5Zznb4BHecbrd+XaXVoBnWAG4I574gpY
qYxAuaRqBEmTFOkHPEewJpVyp3o0W71+TkuERBCUsLJ2I+mS818GbP+0o7I4OhhxWukA5ZCuulwD
etIQ1CmoIAbjdMXeD2oUSK18nPK9EqtjeYf2W/EYJbVONTEOpjXk9sKOFtmM4JYLYNYcVpMC14Bs
Nspn+BjpDtG26BGpR2NFKmhhRwNBF8FNZIXGXJAsivoAJLghnzO9Ks4UJCkCBTizxnJnrwyliRWb
JUjkRoikiO8pkAOXK9ohDKjFU6Ocy0l2Pqlmpj97rN+m0dJ8jzypaA9Y/hYeaLMlnmKPpXn1Jjfq
iUe92mdHfh6O11MXbNWpKn4qJk1DhRrDe8qx0V2R9eUppfhKEzHEm1oy0VU3St07SqUdH00rKA5x
p6h7fWizgy/Z/X08oYWAxY5Sv9mGxRDecdynwKKEItns3RONoxkAhJDPldGGWILK3Z5CdLJyy1/v
EQ30K+gG9LNQ3Ju3M3FDGNBsbeVzP/TZQys1Nvqx1AZu30TXyR46J2h4CkwJveG5P5IT4FBrAtk5
j47E69xR0u9lPg5fC1NqHmQwvj9uj3c9Kyh+qg3tjTmRlMxuWYy7hLRBVp3TCKKPZUwAp/XJcT7+
C8NwwYqcEibT/AEoVChwcAzrc2uW0WEsm/5+0qz60+1RFgIxM2EfgLPnAejMneGqvlETAnxzzjov
OdkYqdabOGi+N2qJYFXShx0+qZaEkFNGaaEtQtT6ILZp+9u/4/oj8jhCFwNADGovpEKXh4/7MZD4
kxY0GabEkRyb30crSwURhMbQxrKQDD3dHvL6bqGvCsgfGD7IK2BCl0OG0LQow8fdmWqYHiNEyjsb
0pN0FzTojtwe63rPAFslKjs8N2FLO7OxwJIpaasCwtcm39mpctHvYxmr3tujXOstGUiPieYfYAzZ
QM/tckpd7EdqJ4EiLYdc+upVKWKuqdMEpyHtrTspUpBmaMjXj3Hd+y+aP40fJMmhmI1SU8N7FIXC
NZTT9YfFCYmkBClaAcOab2PNxI2hygseR32pHOui7Y9TZ8T7Oo/jR6mK17yDFr4qmHtWGbMCkHVz
UBUdx6qewgEIRTCm3+Qkag5ZXaMiEhr999vLffVREV4VFDwCHSRpAsdstbPB6Hk2aKy2ruw7pbcO
dReueTcujgJTCIlA7h3M+y5HCQx64cBFtTOknF+KXVJw7Yph5fhdG+cxF/II4IAaCBv43pejkMaU
jR2G5tmSSj/boRc1IjmQj97BUvEZPtlSVVTHxnesh8lXok+pURiIZXQ1agtw1YLXXMJOUhlzHMKR
hnsEce780C0RtO1EKA1bOhbMFgW2zzaq7r8I68a3IHLQaHeGaU1QcWHNNHYdjmbQlAgKs+NW5lQ6
4SjKZwd01aGRJXurqYGygta52trQ34FWycQCoMXynDzmcwarOHTkc0ch9z7UB8XeKFJd3+tVGe5H
s/f7laT7anMLG2h4eVTqZMI2xPuLN3fodQUe1LpyRvkq+DJSXH5Cwd5+SCl1f33z5sbETOwHNjk0
41mG0BgFjta4O5zbyhvp3jdA+z19zZjy+saiaCLY8iijoe7J17qckYf6IhJDtXE2C7M5D37THpFq
iu66USIxCbIQAK7spZa/qZo4OvgaTqAks7mzR/RYVY8GStIriywW8SIPZNOg1kXOQlpBLJq9Lhy5
1JomUowz7XbKuqGseh/U0KfmOfRO+j7E35Bmj1V+eeuCMyzyu8DOgMSDdLtcCQx2aqOFjntulQiF
pbAav1hFXr+/Pcr1niW1pQwHLYSnizGXcvVKVBCKIjHPHJ67Sk6bnWQgAaXY0i6Kys+3B7vernxQ
4V1MWsFY8/eo7NllaOedceYLhjsNnUscJlTkY7xy7Tmy8NFwYuE5xI1MsFFn+8jHwdeh+W2dEwl0
5/dUo9m1UeqJNrVihwPCck6ThaciqKw1L7eFJcXTl/oDVV0qgHNRx7YLrNiIPOts8sZ0KWNZNI2c
JjmaaJ5QVYE/cffmdWVBSQkpvvH/+duPFm4RmmZhn8287Q/gQ9qDl8Q12IGqXTkMYt1mh0FEBFEu
QumDe+ByV2LBYRTy2NvnAIFsOrGBgZFIa3U6BphTc/InP39AvchG7RzX2jxP5BWC1sIeEhBpUcnl
PQmB4/IHpGFA37A18evwrOHYSuVzaIXJqaZTdHtRF3YQnn94rfAteVDMj32oVL4Z4RxyJm/IDlWT
AkEJ7c7Yy36vv+dP+r2O9rS2uz3swvwA6XL5obbCsZ9TQYFmJGlAyDwHg1nom9Cz269SnQBy7afw
r7ePBRASQiIRCyHQ2c2GxKUckPB750g1BvrTRX6qLAgVUmWuzGppMamcatzqQlBbnW0bqFnAjkrF
O5tVHn3mxW28U51U2We4SOzqqJmOhe8EKwn9ddRXWEdSTJkLgHxmdgdMeLVF8sCgqM6p2CBRpg2x
rfp7am9SHfqnWkIXikM3tYn+D6oOEe0ob0KXIAyRbao8m//YX7tvzbd/+5k1YTM+fEt//ue/P+dt
EwgloX+7EiFa/Jv+vxyR9g9A8Dy4KD7D5vpvMSLV+QdOePRheSbwvBaZQpajvvyf/47ZPRbSNJIp
+dFF5s77Hy0i9R+wFYBp84ClnCxIC2/RIrq87bi/oWOwd9AwpqgFOWGW9AxTnll0N2W3krzoINet
9LUD2PCx4Ro6BFxTTxRfh52meT8rb1Um9PIq+Ht0vLQAKzu8Xq4OTTFI2QBoV0a4FR0czG2cMxEk
3IZaWK6kAZfn8++hDFaVhwuNfu6Dy1s1Mo2oteJadmVkwyhFt4+9rcMajoGOWuk7UEjSyo1weTjF
iOKao7MLKpr2428p2T/qxSGeddrIV3YrCtQYPKE4bPvoK27+2ILv/45Mf6o8Xa+hoO0LmSdIjoTI
2RUHyjOK2tbDTF7DmjDorN5VaDDslcKqV66bhaFEvGenQF0Hd8Su/LMBFhGG47ZNFJfOqfezb4Z+
nxVWjsIyFa83z8rg8Yy4NatH6J99LiejSZwiaIehVo58XSgPhKUqFP6oDqC324MtfCkGo1NLcwh7
nPkLusf5hB0aeS5mUOEvbIxTV1PL9vjWUejxgwgjH6KDAPjicvWqxBv01Ist/Nj6bN/iP7WB6Zev
jHK9z5H8ok3A05lyJ3fO5Si2VJsBSErTxZExP2D9hm662aM1AOYqvPPafthSFZtWdsb1ClLrpyVA
c5R6FrfW5aiZ7zcxPtuWqxUaeAldzo+SXowrc7vMO8WJ+m39wt8DfAMP6NlW73SFQhXdXoxK6U+a
Whk8RaiAur4mWe+At76ZvQdcgvcQ9WK4atxSs1m1Ri6b1aiz3/NM/UW9APe83DOyc4eA+lsBA4wF
IIX+AkdZtedVyRpTtTI2JMUdShzJUMoVGq1J+phPkEYoTJb7t+xGEa44xaQNCKeR/gEKufxioORi
6I4htxPQ1n2c+QBbRwNAxsrZuub8wZQH0MPqMSAdulmEyTMIKVLHpaHWOShhInEUb+QRGCA8OGff
tk382Gcon2D6jlsiwi4/8gzynd7W2r2R6t6joQXDWqH+uvfBXiUf5DUhg72hKXA5f6t18qYfO9kd
+gijV4SKsWKuIuOUOZAfp8Q27oapbo6pbY+7dpQRluvV4E7P6nLn5ZbQPDMgPNeGsaFCURwJ4vZ+
SHLHNbVmQlchwM+nyxNrF41JgRae4Ug7DcMxpMnzYBdCadkppZdsVR9nUq9EDyGJQVibfrp2JVwe
zt+fWugakeTzqBCOmpdTBREaWOD3YYKatb4NjS648wJjTfr+Mjj8PQqlDbJfsijSbfHnf4S7gSLs
gIOZ4tZeHZ+aAreUKvQcl6PsrAQHcflfPNHEPQNCAqwCXD8yuMuhvGyqERrpFbcf5G4XmpEFg8Fw
7mwcGBGwsLQdwJ/xsTKxjrx9apYmiUu0SPAFn3guYRSZveY7VaW4Um5091LKKF5ZFd+RRe1WunML
Xw19GG4eIYmFTY+46P9Yz7QZ62YaFcWtwtY5lZTGTmqSJSuQj8VRRC2KCjpZ4LwGI8UJRkSjxhUX
FcUxrNS/jNpbe/EtfC+dbBXKK2VxKmyzsxbWPmQZKVBd3+zUvV+rhaiP1NsWN02Mz2LVek76Mdln
fj2shIzFoaEVCvchIQc02yqt6aWSp/mq68Vj8h6VyvS7GafKy9Sa3ausdfmOX+xttdp0dre3ymWw
+n0eeJgJHx0q2TZZ5+X38yqjCXtvUtzM07t7P6yDQ9c04RcekcO2n8o1lu/C1hQFEhQ8aPIA9JsF
Rw1omNKHBJAstJQn/KXanTyVUb6Ju9pcqZEs7Rq40ngBC+MsypiXcytRv6dUM/FBkyHbIeMRHPJg
VTfmtxjS7JzrPHYA0YFOprkz2zf16JlU5XXVNT3kdhNoZ4V0pwXSO1wlXlKJjLCzfpaa/r4NnG9K
ha+1MuxbQ4O5kaEkHJjGym5amremkdXTcCENlmdBswaEb2dZpBKkkVU3Gy8+p52hriRTS19SQADo
ayE1y/P+cnVRag5awPwobEdp+gzpLXb9CE2bqUJs/O2blNcJMUFw4EFJXg4lQ/0oI4uhZOzI/pIn
v8NsajJfvMCL7mLPaVZKTn8jcmbflMcKbspCvRNHpNm1hk+HqmH7bbgDxnQ13KLeeMZwzTY2rQ0f
a5uSnPY7GsHSB/znJWWTTJQ4YL/ExR3eET4wImPUNaDqVnqf1oEVbcsAdsQJVHE/Hr2hqJWNHibW
XdFGyriT7LZ6Knyv/9hWKf3HVtCA942RYt0ME9UGLOnoeD4oUvlB1ROl3SlTLL/AY7Mem6gKsR2m
KI1lZNJpH7vGMl79skuebdrC4wH+TLqvRgd5DqcL0mf0FiY8BtKQPkynVHAqDekJ6R692id6Mv3M
gfuhOJHb6TlElOKjAR+l2BZBQvTwbdhfdmVo6aHGCvaZdNAZdyPy1iXqB52dnoBOQ2scx8E4D21k
DzSNmyY/aeWIvzgyicGvasyV3SS3dxAJp3wHVkj/XPRJQmaiyg00qkrSE4xmCCRb+AUYmODcZNjA
8MnfNpGE3/BGtwLYTemASDpliOZ7aEy2tGm8tHuBmO29OFDH3htTaD9pXoR7IdkAZkgdCu/xVhD+
402SYG5A7yROn6F5qT9GPx/7rR1MaIwb0NI+DmrhaQdD9qTP8TiOxj5XM9jfZQZxCc1H1N7NNDOj
bR6kNR5FyCBt21KvPgUjBpZbLZBbG8poqH+fIr/nP9BRqSxJQL8UkiwMGppUDzalJ/vDrpf15A40
dYdHq6bXbpakSQK4fYqPPTSx752XmcPWkuJ63JROZbwWAbbH20rtYfWlqRN/RYhQybelisHMriwl
x0SqyBreHixoBfEAIEnGwmaOLUo8SdYnO9bdOm3Tx6SRYmRr4dzkkuwdZLO03p5cCIy9hSoXkQpo
2eW5V6JK8Qvwf26lptNdYmjqLpRXOfALFxm5CwUs9D7AdMzjfmW2WF2lluba0Ak3LWTWHT6i5gbr
t35lARduZkAAtEPQwQX+PL9WChVkUhqZmhvUWfkB1JJ/ghOzlklfY0cQKmAyAv3GAxQhm8t16ztB
iPRlzfUnQKSgTr1t02fe45iOGMe0eonLTlhrAUS3oQPc1ELnUJNiJfwupBZCgxz1HsRKuWJnoX5C
sGTKc0dzk4FW8KbFl9uVJAMm8IR4As/vaA1jsLS80FpE+RIInCzPAv4wapWSx57mlhG9USOy1W1W
8My5HY3E6s1jAyAtIEAGAC0exJer29E8jzSOs4t+/g+zkD6Wo3E/hM0TafCzHY5Pt4dbmBTxBwyV
CEciR7scjvKqhMEGVLemw+icSpaxK3tzevvOZB/AyadmS/1nfgggfpmF0zMpX1KhwOIbuZX00VoJ
5NdwBqrX/CPaVjyJnPkNMpRJUQWZCkk+061266ilL9/hEFQ8+oGJ2x0elrKB91+SY7AIEZdCqyZH
W6pFpL+Z4hOAM6ANr5E25j+yalT3Eces3iZd4aV7o1LGo6r18PHzKkeAzirU9kcVQq8OijZ5j7V5
8e3tX4dci++CXC3vvdkm76h5WFOr6G5Vt8FO63DvwIZ+rZW5tAeo/otnMdKVijnb2D13oGNLHl/H
kLuPkxz3n+HvrUlnL90bNC05QVR2MB+Ys2+CUfBe4UW62HSZrxhhKxifSJa1lVJDO0UIc8i4wmjK
X2MFHxHqxejW2motZmmyoBNBHYBfph4w2/CNmZLvGbnhqlWqPPReEXydPAL/7Q+3cOtTysJOCoU7
aktzVOlk65KE5ITqknl8HyMPXzJDxjir7dr97ZEW5gN8nd4BcAqYEvPHXTKi5JKUSEQFA6zM0EBa
IpUwIX/7KKLjwk6kXYmm/uU10RlGnJGGqW7YKuFBSiMbSigZyO1RFu4+lKH+ZxT1chTTopyuVb3q
pnnf3Rdxaj5j4KAiyhBOZ6Wsi49Jl689zJcWkKhJM58rg2gye6O2fjylQY3DbJjbgLZrZziV9INW
FnBhQwjkqAIfinccGkOXU8NwDnJOPmhuhDXgDm+rzzJdCyx14mBlEZeKjZAvqZqA9uCBZovI+UfR
ZGrx4awo6LpTLQiysA0xDQrDnO4L53Mz5W2G7gGtlD1SQO1Ri4fwUFJt3hme5j0jt4mTDn2u19vf
dmGZ+VVi5pwGOnezrEGzKQYkvqG5KAnU+4SQsA/aYA13eK2v/bu4wsvK4jqDcjcbBoWMCFerRHcT
v3rvGcqvLiVzT6r2YEvGX04Y7iLp1SqlBwLFM26T6pai/pMdY4OuItZY21W+8dv+Q1iPT01lTlso
qisfaGklCLiUtyka0PycnSVN9ynxj6zEqNrlGSd5++BHsK5vr/dS4QAbF/4qFN1+txYvt4HodbJW
re56gW7i66rnZUfdddIfw75o4kNRtWN5SGU6ghseB1lyr04xBXDPyeOXvPIRmAnLVPukqwWiMG3g
Aa2p9JyS1e0furQcAhsLuI2NgYHK5e/0Cw0v8Iq0Km07C9+1IMXTy34zNpC5UqSBMyGThFO8vBxl
oL7XMGvdLY2hOeCwrB/Crqz+hU1uYZ0AshiNVdBPl6OEWDgFXsLuE852+1I2s6OJ1szKBrq+S0TL
XPAisJqhLDpbMRJw0Fd5obt6K/sHhCGQLw6V5lDkWNm99eOIocDxAx8xIBjNlm20kyjR6pyYLfsY
PVEL6D9DPl8rwSzNiNBFn4l+hEMKd7luXZe0YF25HYF54XCHIzrclthw8Ony8qfbU1oaS/BxKRCS
ixhzje7c0pJKN9lvfmn574ZSq7d6b0vuWAEvvD2UuGwuc3lyN3IqoQ1LOjrPNWjrqOGAYZ6b92Nx
Qt4of8z0JjvSjLH/Cj00gcqukdf24OKoQFNBNfHiJBu+XMwwbTLFqmXDTajBPKIbkJmozkBEAwTO
8dqgrJD+1AtUMoMALA/puOVbh67N1GjvyTX8paZNcGec6jbVdn4nRY8lysCf7SyN0Aguq+G1MdTi
qWq14AdSRLqz8bA1+tzTsEMaDF7mg1IW2qtcps6TpwwobNl62CHCO40PZT3Uz70/ODZdniw4Noit
ENVTM9tQ5GmLA2ak7XvPCfJvUTWUClZoFI22MTDAaaOljv9UIWnzZASG8kLJu6o24JS9j0WLdcBG
tnzzZ6hSFVk5BteAVdEmI6SAiiWscovM1rSMy9BA2sttRnSaSzRdThWhZht7XFc6uNxdHJkf6i7S
TomXo30R46WxGcIQCz0pzHe399X1lcmvIGER8ZRkeh5BpBDLoRa3FjdFNGKXA+rYesZor0x6aR+R
wtJwpm0n6qOXc1ZbNGLiSjVdPZSGL0OPfk+ch+nJq8PQnabG3HRd4bwVgMyAFLlFtYSaLDnZ5aAw
oVoNcpJF8uJ/UVIteqq6zPx8e/1+C0fODiYuh1xrQGHImef4Y6PudHsSntBt3iNenJly3KEqMvbS
QbYAGG8cMNdQnGlV7poO3GwryZV9Siw5Pk9DZ6IdYtnSixyHNGXJInTfBSc5PVSTmf0oi9Lx97wN
PQdvzkoFvjz1NFc7pMFQJNTIMpqo0zdlqsYkYoOOXj+V5yzdFVpZGuikjPn7tvbBQDshD12uQy/B
KTl1aJ9IXpZ8DMMp813cQBILsWKzyTbUdus1qvfCRcnlAY6C3A+a1bw7jhdrxv98y62zPt+NahBs
mqbM93mprYFPFoYiNFOz4oFhglCaffVpyiacVRWL50ViHkqPorgEGOkYF+0af3Ph7AAtYFI6ogR4
Vc1CDXXrjlL7yKygeSF9UJnHAMfElRC9NAocAVGcEvOZN4cauXPg/WQ2+o6Gs+WJn8E0mryV+LIw
Cn49BHtegIDp5wU/Na2ToglC3RXdy0NjhsNRSwdphXe7NIrKUwKaFu3Dq7LiWDgYZoS67mZ2axyq
wWlPRc6b4faZFJ94diQpJ5Jo8FnIAuaQ41GPqWxyNdB7wQe+leMXPRhPljbRo4CIHnrmPpikX7cH
FU+hq0GR8xSNGFnk45e3TWGZDcqbseFaBBAyXyl4ism5PttVphwDPIbXkCALaykQPIxI6VSAcS8H
7DpCaBh1kqs7ebgtdPS/w9pMj7endT0Kn0kgWgCnA7r7/TT44wWIukskW8hYuZqNvYWD4r6rDZT4
3z4K6HAwT8BaBNLqci4VCnSNOiaO6+dJ9uTlg3oIwcu/fRTA/eR9YCShFMxvoa7qBnX0Kse1RDem
Vav6mxnTMX/zXICj8WUosoGLnPu6oYNkZTVEPheMiP80tNZwSKY4fvkXRgHRTmAjfyehvlyxvjLG
QMF90m3qtjhNCJkh52fHb+5rUKBHWhxYD69MKoeXo5Bz4GtrBZ47QbDeDBNCjr2P0/rtufyWSLg8
OyBPBA+cBw8d6nndxBybxilby3GzOMN8nSwNSfc02lXZUByxJBSIpjHf1d04vJOyLH8noa53KqIS
u205s/d6Fabnwve1+xErI+Wgj47zfPs3LpwD+rmiAidIRrQrLlcii/VJwztY/ETFvgMR2O3MUls7
B9fBi+SQThJaVwKDPsf92UWHcmKSem4w5dJd0o3RoRuL2O3V6L+8b/8p/X9pQsrvNx/pEQ+lWfGS
eZY5IqQgQlFr+0HXOnwo8tJeYbgtjkJaafC0pFI6r1U5VACm3io9V5XLZpcrQXmSaTJ/vP1xFpeN
ciJ8JJopAHwuP05kB2Fg437t2nXh7WXVDxDlm5L7Xu3WzHeWhgKHAuFAHL6rfDmAhJBrTePxScp6
q6gdjjiepW2SJllDvCytHReJDvudWje6PJezMpq6bwp0PN3MyccHe+rDwwSNbPf2taNFRL2eowe2
cLYP4lIBoy+RvwaeVZwAVBOtcBWAuJ21K2iFpQkJzDj5GRWrq7odyA4JGYrRcxEpjHeqH6LplnRr
hKPFUWiTQjpk1VD+uVw22c9CiKgaLbxgij/F2fCSBam6kvZfR3tSCED+7ACWjdh4OUgn6chhlaHn
8jqVjkAq4gclD8JN2MnpsyWv+ossTcqkIQXWQwCg5nDWgLZ7gRop170Z5c+k/9o918Ramr40ikW5
Fq09rKOvAqTpa0oXJXwg6jfY6WhIiOkIE3x4+45DYQYPJuhS8BTFr/gjpZjMFDBI3Xuu1inhzpcT
6d7Xa+lU5umaStvihKiWsNtoNnBiL4fSq1xREoehSpLSb3mOXFAIPG5t3ZYuBfy4/nsY8ed/zKhC
3SZK8Zlx+7xR7+XQeETGJTgWUrvmaba07zhAor9KJkN/8nIkX0G2uK5VXpt189JpVnT0paHf0ENs
9iZSmyu5zNLE4HjAgqbXChF6Fv/HsZkQndWJ/7FufazbuHzNvcZIdhjGj2tZwMLHIq4ibSd8SyHP
aJdza/At1aeq88+TZVT7kRrudwA3+eeus46SbwyuPETZMeJxQXlSKe9is7DSjTp4H+kUV6d8rJPv
tc2/3d6uCz9L+A5QUOYyQSZktuRdPxlJ3HWma6VthtmGqrxvBkv7/uZROG/sUPDj0Bms2eQNqUkT
xddMNxBKO6LOsA+bfM2ZdWEuonoIYwcnR6L+7Hv2ZeVRTWIuipkU4rLq7/1SDlfwxEujgOUgmgAy
pNA7CynW4Bd2XVJT8iYE/lNQfnuzstacV5dGAQCLbhfwEZLg+YqNRRnnVBtcWUUWyw6UiPZEUL75
xcpjgUQegS/kAJW5uXwIJCpslNJykWyFA9zbHmC3Zu2Nf33OUJjiZULQYsHkeU3QCeinKREsk1yI
mKdZ7tzT4rb3CV7Bbw7CDIWfnxiFl9Z8QnpaJIkkF6ZbWIO2k+tQoz+uv5nqIWaB7DYxEonMKxxA
XahGgk0cZUUZyF8QtkIZZZQRV8ey4vbJEXv28vEghiKhEIQWTupst0mD1MOBZU+Prf3axpLbBeUP
32rvU3Rg0eqvV8qKS9+K9isAb1xs4W3NLvtCsdssjsXuluQR7F3f78PUzo51EoT/y6FENPgjrkiN
lgXTwCoGmaxuB7vvnu0S54gEwZnd7VW8Dixsbu5cGjNQ4K/4KwrlfKxOLNPtQ+PJsKofml9/9mu7
3lRF9uP2WNcnV4wFDIWWImXTeck0NRMLi2KqgaHklBtAm9W+rac1fbmF7yTq7GQZgABR6Jvd222L
3r2jD5ab+w0UxTKUjG3XD7m6S+vOXjlVS4OJmEWDlDyAf7n8UrKSoN+JnZ3r+wNa4EBEgW1O37uE
4/XmxSNJp8DJCnK/zq+9vk+dqg9U2x0po2/lxOoOFe3/lUO18IkAo4uVo6TFoZqVF6rSGqoymGwX
coizHa2RKmqV/3zzVHh4Eox4T8E++c0p+mN78xLuw0SluqBUDZDYvElPSa5Ka1MRH3p2QZDMCsET
rPL0q1y9V02E5tPEc7HDmNq9XHjG96zvog8VdImPfR5ZuLqoo6keHauNHsCuJsEO5bQh2BYIaHU7
By3xaK/2GnZDhlY0mzxoBrbVNHZAo70428XIYjjbYfSwIfE8JABMkFbRprK8qd7ATaof9TosoyOb
tXgKPaP4lThDAFnfUNv2VFuF9H0wQa1uacBgXIN1tRajcmt2H/LcmzzMlevqnt4QniGtZNs/6lpJ
7S1yO7m5L1G9xFzGzjG69iXdTrd1kmoPfSmF6aZOkZbYB3kF9CxXwEiBN1Oklc3/u9B9Y4XnyD89
HdBFcGzPjczOvC97q9gFcu1/rm2tEbryVHJyR90Zeqh+6DSvO9pTrm/ieJK3Q1fn+0RRuq1XaPom
S3L5YMZTse1Hc3rCyfQl07xh48lh/Gj2tfMwZtHb03cDxQ+q66JcTEic3eh6ZnutbtSSazh5sq3K
IjoEOaZPeNB+v73jF64JgFyiNo2+psBKXl4Tne1pSKHyNpX1wd7ZnSztKeVblIsDfyV1XzjB5JJU
OS3WHkLeLCx6iM7rcphJruSnPtqWSXFkDaqVw7U0Ibgk0N7F+vGou5yQV6mTVGShBFG1Gg92W8Rb
pfS/6I1s7G4v3dJ8RLilUAha4bp4gGlBkqKY6VKCtnddH8YGuLF+WIPULM2IegugcVYNuthsM9Cm
CoomD3xkKfN8N6V19smCZ36aJmtVu0iszvzc0AOg4kfhBX+x2VhaKU0UqivJVbrhnvDxodLyl7FQ
k22ajBHmDIG8MbPsg5Q1R72TXoJhXCv/XOu3UzPDUJDrkeoCAili3f+4hEmaygotIr5gYta/sEst
v0DPnHZ2BuI68Uxno3i19/+4O7PmqLF1Tf+VE/v6qFrzENG7LyRlpo2dNmCDgRsF4GJpnpaWpl/f
j8w+u3HaQQanr7qrLqqKAmta0/d+73Aoqp6MVt/s3/lqMEjB6Kc/rrM20ThYMzvbhjef1CaCeJOh
SozkzVJ2CrtOtBNWJdSfb5/wAmk1QEPB9PR0wLYzfdExD9gMCt+JDBDPXW5256IaXyGoMsFpplGp
c/J4cSjt10UrU9lqMAFN48os7eFDnhpTlCUEvMWwEYiiHTXjXbaswe3a6uperE3x9o+nzBZ3DeMW
AzPq6pM3ahuda6wB6xrRM/6dqJKUzmHXnOkRvDJhNlIPBSWchg22fj6AsGOagtwsxFWVJFM8BI15
tzVcj6kh/jzTgLEBD5ZmxMZaeLHc1GS4r8TKam8SnQkSmcl43w1Fb51ZO5/O8CcTE/sMi8MpPhM0
ck4mRe4NxeJbXCcb12PjuJEG53uzKL/GevASr+mLXPdjjszX85TdLJa4lP4yh1KJ29It4x7uxgDD
m6APUnuqL0PZ7XNSU4oquMgE2RuLPsfORo/JLPvw+4/+SjkELXJToWDCR/fz5KMbC1HYpW6LK2iR
nxSkjBCYEqk0B4jK4p+N++fqRSbs1jsGJgKcPMVCyUTyXbH24spy0iG0K2O5ZJ8bzxTiry1UXIBl
crMfo692sqEFhO/N5LOJK90vSbur8kNaloh5YN857o2bEBfHR/nWyzpacvftpLw/X6A424MkGtS1
mPWdrNZlizotSxdxhcjLeMxgQxlh10OO+v0HfGWjwzhmQ8nJPNkW5ufzCQC2S9uVD5jOvh3nRW8Q
qySKMxv3q1dhGnEyxpoedOv5VQgnmoy1ScRVOdkCYKMZIYCYSzbFv3+aV1ZCMAD+MtzN3IxA1OcX
arQWabBuZ1ekO3p2uOKi9s7EOEaE5OTM8EVX2CyhMAnye1sSAv6e8qoqd2KY2x+/v5WXC9Vm6snH
Q7sLWTY4GUBwNkvL15viynSsS2zyiwN2FMRnkPrz+wu9QvHa9N+MFdZE2jfGyTPnBXn3PvymK1L0
5mhN3Oprj3L6kEGR5ahea1ji+layS7tliPqKAyCvYiG2aTHSaxxHk3N6uNe+AoXpxrmHfAZYcnJO
WyHjOSu+nFctn/1d13biFjClPRaJKqDGNMulWipC3Erl3Na6Mb5B5dL8MSzIEMDAld2Q+fOCLYnd
uFV4eOixtxvqc+J2+mVhEIJ0ZvF++ZmpWCkpuQ7zlCPw8wEXZIExjJlbX1Wot3bTOroHegDzodHb
c7X4K5cCrd6o4bS/0YifrAh5jXtnJUy2I7FooeW02a4xSgXByTzbI3/qWz3bk+g7b2d5vCAM7J1O
C38vI9M9cOf2ysM0tY1ntAHJrss5jl0NUrpenGEL8AGb3pJO/VM6Y99jFh6uHHfeSCCCNNLxVLtb
s84I7hAdEctaCQv1PHots7nGbDybQ6xnCL3S5rFtDm4zKDMiCo64yBFsw2hn8c1227wNU5fAUv8p
XtLekiarp9BJbWXahsFTGGVvtgINhJDNpbKq9S5xBot1xvbGhwEe6xAT2sQC6nJLaVjjV2UQ3k36
ZWDU60dKXyIxxVM8ZrIW1XhBxhC/b2gb9xbKG2Ga5JU63a7eMjbJqyJu00yyeudnfUoAzZbHWfWp
80VLMhMx71NgZ1tQMIdpl9l/Fxnmr3tJfNrDsOV88gLnq4pItymstxzQCejF2rXdaKVvAGPn8c6o
k0TsmnrSuqgLss4K0wQjgrDPW20NR0uiP0iWvv3gNTnqnLVx1iaaqgX7mRCRo4XPqOS9CaWbzcJG
RWf60l/n2YxdrRi/LsUwlXGDIXC5o5ymy6uC1Sp3y1C52pVtFaZ/LLMsfcO/Fks8KQwg6thayS2I
JjHkF53mTl8ne+3qqPE2o8VVyYKsGq2Ygg/qKXVQk3lw1634pEbaoAPGWmMl38vF04FJZ4+gKHii
dug3jdtFS+H402NiVE15I02j6hA3rF4LauzXWyitYfyNY0h5N5IRbke5aOTIcUcknw2J7yCYR5fL
fY/lVLvv6qJq9lmmxGNSBBT+dm6jH6bxbORR0sj6gU2160MrNz2Mpkv8RBFQrEsNnbiY1BVxSHVx
0GCuafEUDA7BlZsP4d6TM/JydyFFO5LBaHuQdgfCVheODwOITjq50eqWuRPaBb2buDSrFkXGos1O
5KXEHIcNBuEmQxBkFdZr2VAnE4hqkp/YE1ub40tDAN0y89MSMZgBNgiYGB9ybV12g6KYj4bZX9t4
ycwOD3yHhCACigV+Wg0HsNuqRvsCVoTtWwyHPL2ZbXh8YUAq2W1BNJzYOy7hu5E+pZmMhy7lydQ0
1BIz+LS59xo7GUN/sLIfk/AByGaCxogL0JLgttacOYvUqlw7dPOy/whLMbBQ5aRWedA4/qm3Ph6t
DdqcYLo2jckMIpKTCLnUlgQvdkcNzXw99Ib78LT1/ZG34f9zroXbGg4syK4E0Y2K32V3/B//63/+
pNK87lr4imPhaz/lX46FNgaEeNZBFt3s68wN8N5sDzEmtLy/HBpkNHN1XDnoe/7bs1Cz/3JABPAQ
3opi1vut+So3x8R//kML/tqcn9D7mJBpN4nqH5kWnup7aJywM+PDgZoWFAdQ/vmWOTv26PRav173
Vu7OO/Qgip5y1o1aJDB4yMNmKco3fhYU38vK6W9zoria0GxK3AnGtHXJ6x5X67F0U9C/pEnHC4Oc
2TPWOqditJ93uZkh0Yimm3/q4yHxXsNJeiXOrXDXq5qYv7uZ3r5iSs9iNyUwpiytz9H8l30k7XK5
sh2njfRmca5sM5GfytI4d08brv/LpvzznjxE1hxwt5yFk8OGnAomVJauzLGx3s8D3O/ZS51dT1X+
RrTDnePU1qc6C7RITnoXjyBbKnTSbNpr/deuR11plQRti3YtP+As0585DD0B9ac3iO4GmTncOsyC
zOeftlzapB3pIl3PpJRfo8GRh1EIfU+3c7oVZMDfNqKknlpYq3Ko6HoaE44jYlxf8kOWsh80OYkm
OsYPu3INxtAl2DyuWnsNlWGke2sq88h1pLXXrK7c/TKx3v68zV+9GLdS58XNP7lSIXzZvvvzm0dO
pHrTL9ZryZH078VSWEtYivjYLiCwtgzSY1kWwX/nm1KywBu2NyHZKU10CCZLS9JhvU4my/7YKFtD
TExy544mmerjRXj1ndkgdwSJgCpdEAdPanZ5tQLoXGaBgAGu6Ck/rPRXQqfHwUQSpPJnh2kGHoxz
HAS21hY/zD2pEglHdXHGTfVrE9rDTtJsjUxVBpe//wDbC37+AWjQYXSG7Ii/EcI//wCLFDbujYl+
nafT9z5dpuuBTslyKDilTruFiOMEb49E0SXM5vqzvqLAO1OoPtGBnt3DRg2lVU2VStYYWQnP76FR
ZZG3fbNee4lRx0otzqHHjHE32UsWK3CN2HeL4bLvrXYv3DkPhZycK1+rm3fYwo8Ha/BJOw7s8Qwc
8HTgfnFjrJZbixtU6tTrNUUDnAuPVdNYlPwwckA/KA7H2NyLbHyDzUuxH4b+2JSJ95bI+S9wzoeo
S5QbOlKM0cKmcGlYg4glhALs8OrxsrI1662hELT6FSY5EyfnWHjpHHt6p4VY2gRha7QIR9KsOeJt
74cslNllM2b63i7T6R1eNOtFMmvd3urFEntAI+dEwafgGMxQFLEO/rp85K0gOalue33GwqWu9Ot1
VqUfGUnqfiA8D3MYXD5vVJBodw2SsH03EEwd57b0r1DCAHaZ0sg+arqf3A+eHPfwpPw7nSP34LgN
iW1piYKsH5bpPkUUQOrGQDx7iGlg+Wj0+Nl6GgKcUJpZq9D7Btrj78f6y11wey5GGENsG/Cnar4Z
2nGOG+Z6rbe4DeJUnptWWGkwFqPUz9wPvVUXeuzMrnHjSo+Onm5+19Bl3voltxPqg9M8YImDmCty
5lZ9OnN7LxbD7fZQlbM9e3SpTocb9RuZo96iX7ea20pMEwm7Ie65799raVpTnc3WfGOkwaztc0k2
3q5dSvsq9xOjjHC9bp3QtcvyYDKNL2ZZauWFZxbdDRoMTo6edValfQrYPY0T5G3QQJjAW4vj+cRN
c13JZBz0axVM6hpM1IqazrQu6IGt8SyI02w0co1DITy5U1k+hcrzQvwycvOPd0HeHccuFko4KfyL
9fxW+tnFNMqR+nWz1upBDNN6OeWchsJxkvo+0Bx5mS9IXozWdvdFbRVEqzu0YYbJnyOXrYkEtFnG
OCNBwyhmf+elmKDbejHfr4mwonJQ2d5L8i6ydK06s9Rv8+lknUF5zRax+X5il3Oy1Pu6VqxZM3Lz
WE9x3qq+i3l+0Hrt785pYgqcvavXZ9okpxDW08eDVwMVBN0Wy+/JG3OTchbetBrXi5HgFzUoTX1w
yCMXsatP+UMylADiyax6XL1srYqXIccnbq0sInBdJ4PXMeKuePf7ObAt9Sdvgl5jsKWBAQAjs3n+
GUWjzHZcO+NaWkN3lQS6Irp6Cc5w1p8YQy8uw9encbO9gFOkxVBSQROxzetlmtxHNHF6v097OavI
N7XuHudfhzwaG+0XhXwptcjuJb/iZ2my71xhJ9FqSfUlHYIlQDQx6j2cdHx3wnFxMbpos0zzLwjm
bDHWC0wZ/Ni6C+e6Mi+WC9jPNC/opKFWp1Q42Ta9tdLMYRmLY9rphKPMy7aMmVbvHISviyR01dhp
RZTzp+uLwUegF5bZVN4YSbJYN1bR52OoN/zfSAzLAIIkuUzsGZo/hlkvyyxsx1KKCFKoxLe6TgwR
ljqgS6jpXv05y9oWk5I+o7R19RkYVF/9zotWAw5dvMHPMpq1dVWh6ji/x5ibDFVYCHvN4sHpiirO
rNye9qYzadqdqTVmF43GPKwXgpVkDFvUjN6u9r3SCgUhcQ5qiUyMt7mZdc13qnNueaYa8z8MOPDp
xyFNK2Nv5U42xP0IRfFCDJhmriHsVsMOdeJEZShqOXGaXVAQfnMDzRI3Ob6k4orVHyPboajOJc89
yeqeDTV0aJtTNusShzh6zs9HNAnvs9nNIjuag2N9tEpZLTGgk/5oF671WZpd/7C6RvnNpHFnhObY
qS9+X7Bg67aWW5+WfBF+2Fsir2IfS4w8bpsEpwDgT37dW0mGPrOUniLJVLnQ3QmrwmQBHyGmyPM7
Rr2VIN0v0yM5KMTQO8PwpU061oW50MEkliktMdWzJ/b1Yig0oJNmCb5qXpCec8h9cTjdVnIPy7Wt
UUdW00nVqi9jClZnpseq8LHNbByt+9pNrfAP3aQjow5qt/+uEqfDBZmjezinZF6eeR0vVqTNuhIF
AKR52N/2KZuynBrWbddNjx00cxDANRvvTa8558zzci+lzAfWhlMLEIDd/slb9xptKWdHr481nHo/
Cvw17w8ucckd6K2lp+8AU4frTJ84MS1+Wv/oUlftChDbW90xzxrDbMPy+bCFcQuSDxi2eZaeVh9l
77ZmA/vo2JJwctlrgXZogOQPtkMR/odr/tOJjNYREAiSjtMZEowTritKNcelc5cLUwvWQwpiFv/p
VWB7YELKZehNQOx8Pqq1tDSbTsnmqPelE6XO7MWNRfbY76/yAi2AU7I9w8b58LBJOzk5D+OaBIU5
NEeFZvOg+bM64HRg33vjGOxMg6PmmeH52gXpTQRb7o5H1+dkFx9XVF7B7LXHTBgNW87s35VLNjps
UH5rcN4ySFT642d8YuNuYpXNVP6ky+ZAByjRJnZHje+5q/uqv6j9JbgYhQWQZMhmMM58u5eDkc4I
V8Ofn97wi3N7XjT20uL4cBRz7h7aKm/TXZB78pPjafOP3z/dq9fafEy2/u9mxfh8nCh/1rNF17uj
kVmoD21LuF0MO7L8arPv735/sVe+HkZ3GDBiF7SF0J8MSuxW5YiDRHeksaRHlpc21+AB3Y2pIKCP
xTQvZ77dq0+HKeGGUTLfTlczHV4stoBTd2wmow1BtPQ3zVKtb1xwo/3vn+3l4s1H21SB23q1WSw/
f5FeyeFtdbruOCWBW0UrxnGxyTZ+gcmN+FEMfvFD5qm49jppaWE6eNO5euq1t7vNeA4BjB3C8J7f
Ad13oAVLdce2Sk09woheL+O0G9I2tNS6mqHXF3W779fVUrig5/2082Xl5juh0W7awQaw3TeFZisj
nsvOvamNYrI/w19ReTwMpMufGQ1QY7mjZ6uu59MG44bxm3Ho454MPjNpEOVBgziuTafN3iUsUc8H
ewlk7d2Ofv43+WG0IVVKlnWzHNxcujQl8/IBT6rLImtjTZ++cgYcoSFBeRrt4QbIZQ7dyv9cQvG4
HpNURgtxUhBU0tsBjkI4uImO5reHkTbl33jGNsS948aRRvORbpP797TU0VgHdD4c77vr3KSiNC6N
VP4ws2G8kFk/x2oUMqasVRelsYVJmxkOWUh4uNUyPaTEGVxg2mIey1yLIRMNn1Njue4Gy7sJlGuA
npH4O+fj534V/j6pAz8ui2lzwJsLeoRLey3qvNlZweLBvEn7HYXw+HYtx2vCDlMZakm5HH22yVBS
KYfWvJg0RWdHMqWs5pqEt4e5LYa46uwMvM7VY1PhWWPlUu2ESDOiE1Q8uN3fBjnOYT2oa1NpnyuZ
30CMayK7cz82uvRDG+lOVMHXhZdoHYVl+fco87tru6p+rLJdboNFPnoCIk6Zk84zqOAdvcjha275
1ftxbL8WNGNDT4luJ+jYHIouhd9SYoRazIl+gB8cl6TNosvTE/qOfh9NiB2j0p/mCzUWH/xJbC23
sittnHuX7lh0yKlD26y1jLOzPlC0jOw+cTtqkrbX4HtcW45vPVnPhHBoM680tVU4cdB4LBfkDZFY
N15ISWsqCzl3iubaK2qF/mucq+oaN1rbQqmV0evkBfvvBiCeYz4JvdjLdpxENOtFHez9wlofZGK2
3SNuLaOxV4U+tVdtYTl9aCsgzB8FFkqhtkVAP7iatPQ7mQvxULjZ+MUxMmxN3AxCfyhra7iseqyA
4qRMscnRTD+NqNb4TMpylyzq4VSOYWnCR9KTcvxGk9o2bkVer84Fpnk1zbkcmsRRL3phhFWTB3ta
hS4F/5x3j4UeLD8oe3uDmp704KhrMinjWtLRi2A6KS82tX6q96qGPhPXwhXahZ05DWwwX1WXUwJZ
NKz7wbv3Zmcjtlip+NyUaTHsSGU0xr1nz82bzh/nW61tb/qZmPB4TjNXRWxfnth1wzr2YTJUqX0p
5JLd5kvarFdDpoYgmgKvIL2nwv83wrG7O1jGmnwrBq2JjVTrLshfrS6VXfi3RWlDLkbjPbypSt96
nyUrcUaSLnEJRSutH+Yqdeq4beGWIlXodUCM1e4qDEbqqYoap2muFvy570bqNmNvGrKtQ1/HqyaU
jiTDGeoMFS3+2ojzLW0zlbGK6q0Gj56ZEGirfWxGT1xMZauLuGQXWUK3mIQTZobAwbdskurtKAfw
FdI6oWLmlWEXkdgOv6GmleZd7YzkiQMgVV/stsAxTve8okK0Jq1s364LzFS77Ys0lgU72qHg/JbE
QrmzF5mLGMaoqSBbXg2rXKdw9vECCakF5n4/e2uWxmYddEM45UFwbYjF9Pa+M/SSmymMIp69aWii
3KYWhv46TH83ctHFzm90442x2qnYJ/Mo1tCdB7ffF12VWUCSss/emOY8/8C81jZjMSWI7DpF8HtU
FB0FWeuPfUldwqzChirhuJcPWarwzAOyCp1EN4uHEjzmvczRcF0onuLdDK7sXmUW4F84BrL5lnTr
qOLJzZL8a5PWqnhbtV33thFF96ViDRs/5Sgc+KH4Yf1tpE3bhVOWYj84l2x3QDS9QocFSYohD4Sc
hnLwVNKHWmHkIhqVWL/mtd/f9nOT5HFJHEj/ecTmCCGNXPX0mDowxnadHSRLxHRRxb436kbfBaWl
fVpMNyHHPtVMsSMYglCWAKqBtQ9mPcDYalXNI24ihnaxIJfWkCesk4xxB+ptbNu7WmFhAmL9hqCT
WkXpCNNutzRpS3W5qOKbpnfF986t6cKIDtwhlp0cy90ExxLYQUHpCldI707omNmaHm05yfd5NdqK
0TV4a+TmM1aE47iaj1nutJ8F/u2Pjk4nTu/r0jp4BMyMV5Pvg9JgZJSb7PtV/rFxzSG7c3Jvte9o
l/SIUzNpanTep27ecdI0zMsx14yBceOL4Got83Hd8tAW+520JooVM59GOhaFuzTR0BW5AbemXqof
DbhfxkDttGjw7Na70lRaBSAoM7Gjducz2ckP8et3eoXd0052nFX2lTe69SU0HuYpIpVWheTgmNk+
N0U97Y2EcvAKvDw34hZgYLq2mtmAhGMOqg//Uxej54zkZh2JW/Z2zHztkBZGd120tQO22do/Mbv/
rxkBG0yMCP6XE+0LFsBNQ7Lgf9yp6uvQf/3Hv2INLx//+Y9//9l/9f51/S/I/VSXW5gPujeOoT97
/4H315ZksnmJWPRS/t34t//i6LmRabfmMvLCLUn7v/r++l9wCgH/qecghqLSo0nxX0SFtz+PivLk
v3/tr56gvJg+4ukDRw4EZVMec+R/fga21mBxnMZL9nlVj1fDIPxLNtju89h57eUgjWRX0W89uo7y
3y0FYxJ2Sk5rKSggvfjG4y9v8F+39+vtPD+Rb3dDl88HzaFCpvd6mvROKMcWwWske98Q4m3AqP3c
ErZ0k+h5+mhNw/Dh99d7Dt78vB5aHHzvUJVQzm3l0C/Sh95zOhB9mewJhVWXTeEs+7GDMfd/d5Xt
qX+5CtlmjavIwN63QVq98/WSysIu9Ic/u8oGh5OjQpmIaIWO5Pasv1wFCnrmt7Yz7WU+pYdMtp9c
TDCjP78IY49mCkMFXPykIO010XJ4KuY96DybTeIl9/xSduYqp8OAR4FLwWTBcQih8inKDyQhGzaH
ab94oMzzOt/kS/sIVvsDPcwZha27VXn/p6YiFWa72Cb84uVRjJ4+krHYXaGnYtr3tS/GXZNxto+K
Km/Wm9lUsBxsiNqbt5JnepyWZNVciCrXrV0TrLoM52rsjllZ9DUVSpAUl81imR/FmJYFLMSScwZq
hZSu7dyUn5jSwrpMRqXqG2EF+U4rx3kPZtR+bPHHNCPBIYaNuMa0LpqVWGil9I5d7eZmBWCAPvZ5
wv7jfYHH7bKbRaHusxmF6M4CAryy6nV2YsOWM6SzJa04nMFIvSsmJ78RNLTsYWkeSiNN2TZREReX
Bfhpe6m1aXAfiMmojzR1/OI2ncp6fsPBZK1jmfr8tMQhYDh21mCK8e5mO1v1RGU3rhh7sceyqXLj
quj67xCZWivMADRg94klf6/lfSmjLi8lS+i/GVevrBTbzDz9anCnMMHGkgHx3vZVfxntnIsVUXD2
sl8wi9pZIskjldlBhF2Aufv9pU4XiS1uapMdQLhFS2ycWjK1nacZHXvtPoCdeViW0Yw7MuPPLBIn
sPo2Dl0ASHwfuARA1qkpitnYuWiVNe6ll3+rpnV+NCdZ7V0BcwiREDWuWpprOTRrpJmzCUm7PnsT
L98qvn9IeXij4JM4fjx/q5NnEY7Udsi+5qwMRR6oB/JPnzCA7EyP7eVbpfEBaA4IBMOG4N3nlyrc
oKuQ1o1711Yq1Jvcj1dK+fj33+6VBzL1zeQAoT543Sn8aZPPU+fovfaJmddh7qzm+3XNCTvKO/OM
auP1S7FZszK6dOlP3h09WjmIFlZDko/le1FmY2jhg/tZ16b8v/NU9B1YsFixMDZ9/u7gZExam7Xj
HuK1PDTuUn1qEWgyH42qODMutxX9+UTbGlScRmgkwmc53SJxXPETEC2uFWBIgl+/Kvy7YCBEMjWb
0CvtP2PvP82Dn+vw5hqxBXw8f7jV89QS0Jvcd81WN8qGGDvdni9qzEb++D16YDCou7Dro3Z8agP/
soiAvXRLbZjjfiCdK/TLLg8rJ/V2VTufS2I54S5uj4WnEjRPdhlC7MiLeP5YQe+ptO2wNdTl6mmh
5ibdFuy0eiKcrc1PRFeEISEDMRsrzNHh3GiJ6js4ls70no0FF9icVjV9T9Ge2wNfDl3uDSiWlgRq
YQyZnt/bOtg2KAr3ZnUrTdyErmzoY8l3mXrTeOadb5/v+XjaZBJg2vDKoEyegq4b35mAH93aewOZ
N5VVGqGupcXuT+f9ZptON45TBGyZ0+2hliVd+aw198HS3weq7C9S9uIQJpc4/P5Krz3PT6aguxGH
TyNtFwe4uJ8Hcz/TgHuLgtaJROmfMzR95SoQuCkSHByGN1PJ51/IqC0SB7Je27MT1pFoHRPgxzbf
/eGzcOpCNcMQsBA/vjA6KlLWUAIszH0jtXm3rLoTeok/njndvXgWVnx6URCDts34pQTeHJPMk8G6
x3TajwabAOWJVv6ZTtsJa5AJh9CLAzEI+NalgaX2/JWVgxGkea3PeykLsCCKc8MPXZ2oHlQZOeIL
RJ8SxaDKON3VGh6trZmK8WYw7dqN2tJEmzLY+Yj3QqOmLiZM2Nf3v3/hLxZX7hHvTvYmqD24rp0c
p0Gn+2QsSu7Rrq63VJF4ctwj5Lq3RCigbADtObOc0/k7nYBcE2EyZhikGODstX2eXxY9U0/dLF/N
db/SbS3iwjLQQVRFgKjDGzTDjSizgiWcJSIdTMc5ae5K3ZDpQaSF/Z7uc6Ig5pmBJN6oNd+Lyuzr
KNUTaFSEdqW4d5IymIR+7ZFfF+TTXIUwYt0VrMlD+ezjVB02Tr+McQLYsMZtb2R6SK9juc3wdKZP
kDbznWjmWkZisUf8o3zVR+CU42UymA7buIuEJ9RG1UT6vPb3BUeJD7DSmyIGYc0jHZDysS8RDEWF
ocabTNW6HkJe6bWwddp2uWRn2Xw1By+7aPLK2RG45zuxPc8jOLlZtx/4bX4WCWCtOVzNvFKh3yZz
F834NNxDFCFq3EwGi4eqZPuxmviToGs0kGKg9uqzPleTQwCWRLFEmK41xq1nArSZmgsiWo62wP2w
5fh8AMhNRezlMrhr9Spb4sy2m3vbHVueMClrK/QrK/gke82/9zM9EaGUo3Ogc7ZW0WKT9RcKLG22
mMes/lBqs92EzmpXuILA+CnCzKzMNioAleyd7i9azXujIo6Qzug/iN42XOgZjfED3r/+ZcHatT+2
DWLOXTMsOeiwOYMeMiOW5VJbphkL/ayZq72ddHl/tErCP3bg+fOH2dbaKXIUMYlYLCe2iBqf4LhQ
z2s3i7dOqox65S5vSVXzvL3GH7wbC47DYSp6IicFnGsVmdNi5Huon+PHvjX6ZjcEKnWJTdFAxPWE
REYIFi0tHDxDZLGfcpMx1rRuv94YhtAuZ+wDghCDP9OPtabStzdeDu9gx3ZV2K51r912vVFSqplq
lFe5Tvb4bZAkssWAIag+dn4/5nFauFN2MND6iGMnm25fB0FR3DPAvDmia2RUV4vU8/UKKH1+2yN+
pmTrlZc9TGq7uabYmlPZWDs3On39+QIwvOlDgI1ARROAPQZEDvm8sdmMQbAlZa6HZXKNAf8Yep+7
daAsjr25Gha+X07bDuFadcfSQFzpYvfubYlG73Nn1vLo+Q18u25p6y5C3joWIeUSWiIIeB+Xyms2
lfmmsHS1XB8jMQXNwwyxad5bptF819cJzRDB0EenD+zv1Zyz80+E/d2kfcbqj+BCoG7qZBBLS1ki
Wrt0ai9mOI7fdI1JEklv7PY+LdxpZzaJ0UW4jrj9oRdgW3FHy8k96uY0foKl7JckGWQ9kHtL9Euc
EpQKo9mw6yLytk5BnEMrHmO7Ihoz0rRi/jzkXdpFeaKW+npyZNXHWlev37DZJteD6W9ru9bu7Dsx
Kud7qpLFwDp4SWZsAShgDgsivzIWhktP1Kkyv9wVvkGYqVzQAYY4EDqRa1gcC3KxSBm6SKfu0rkw
hl1Nkz2IjSyzr1bMqrb8EGUWu6Et6TBgzzFob1SlBfd53xfebkoHmVy6SLvyCyGKmu+YtstKm3hE
WK1npQDEwKFBANaSshMD1aYftK4Y8rdqpGYJCf51qKArdBbv0NhNgt4EHyxK27J4m0GhS0Ovq8tv
6F0zugSToIVDD6rHW1poj6vkR+3I9jbTCH/kaZ95Q5tf9qpEZ9j4QX8ztGvXREG5Jn6c2HllRbws
96Mk+cG4SjiS9SHJ6bUd02Svdij+hupNYGRpcZl5eB7dLE5uzHu+iHa59AO9237jnHtagAlV0Ayz
G9JFND4GdercznJCLREg+LsvSfpwQvZnkcZ90M/HHKrpuyxYn0SMWhuW8DndyLdwTWJ2JO4ASqI6
l54MDxDDwjU+BalH1t7vd90T0BOy7uY4hR7ryUeGhuIJeICvSaJPhqH2A7SqXV91/lEjQfWCRWF8
FyB5va0c+73nzvaFsxnaqGZmmalVd22OlnP8/d08P3z/vBka+i4f2twYTid1I2GX02Kv0/9m77x6
60bWNf1XNs49DYZiAubckFxBWpJsBbfDDSHLNnMs5l8/D+UO0pJaawzMxRlgsC92N9wyRbJY9YX3
e14gXmjqt9E0FP44NMlFUi2nEG+vX4oyIUUG/Oqco/umFxAztj4P27Ez6JEb8n2ldcPNaSLf8xDv
1z1RviawQUuyOpY+jzEiCQs6kw731CU20V3ageEzTrl2HsmiH1/jo1SfzHTloR6lVHFt6JlbcBXZ
AUuIJmFulQQHHgMUgZ9LN7yG+zUdOrW/ffuVPQ+hHm8PBQaVc5YQiJfjXI6O8JLqUzxuIw32r9nB
G/RwhFLBCUxtkKaNug87VdtGyPmRZ4voRO3klfcIx2zlIDmcGSzm54+3cdHKL1i+bjviVpSrWebT
kJ3Pi5Lv/u1bPQqj/7xX3AxWJQkzisdljVoRrZHkNbXYEveRMNTdnYI1zw7nMXS9kbtOgS3zgdon
Q+cEfdQICiWYHYSWpjZV+75I5BZHDvvu7V/slSW2+iGSUa89ErANz59BnLWLAcKNZ4BD0QZdSOUN
QxkGb1/lWHa5rrFfaRcdEhoFj4qcJ9GyRiyQOWU/bkXblTjPZ+oVjtN0hhcZBtkIdy3KpbUjKuh8
RdbtJnJxPkrttrt5+zd5XhP/9R4eMyaid43ZvKMcfUJIK6OC9p7NtI2Xu46CpUymcSKG3XZA7XFi
k3xtja3mjLRFIHmSLTx/vjRGGb1mImJLtlAHbpQJXnRV+71bniqwvryUvfqBsF3wLTFFefQq5UI7
eNIMbs0cl/cGA30fGTrPNinS+P5E/vP6taB6IcLU8R0+ui1Tq+YUrMq4TQXqvUYq9shkR0J11e6G
j2+/shdUPGbV0O1RHUDhRnXqmA4xdj0q5Dyet4rsjcqrjEJ90PTEWAkJcW17VR0pNWOgjXHo7amP
/bSvqzuDgQZj3wxNRKyROdYHFdEouqTRwQ+8hHngR2hgaz/OC7Sbjgk2a+cMaLY4PFTtti1nK3o/
uRgOnahwvvzkaHFQ5NCYA1zBvkfvCbs+qzZme9wyKZ9dw+AZNrHrjiemL1+9CnPSTCRzCSxcni+8
XBRK27lcZSmL/txAFubVqtud+LBfvQracVYAwCLmXJ5fJbOjwTKXdNous/uzFD32SGJKT9SG9Of5
/frRctKyaSCZX2Hdx93VlpOopnkwb92RV4sxkyU2g9MgQRJ1tXRU/iTVfbuWaPDGTNgZ/0mZoc9R
8Xrf5XTv0Xgj4hM7lRHIyyEruoaRCrPylSU2glwwb4KB+ngBriC2vZ4GI2tLGM1MbliUszcPcBpY
5jK5iZpMTIwZE41fUokkT357tb/yZWF9g+cva56y6mPQ9WSnHBBMxm1tTNticj7Ni6VvRDx+SRNj
PHGhV17daq7C0UsljHVyFDAZo1rnwgknlntFQl/IzC/C6dRVXu63IJ9Z6WQ/zM9gTPN8gYxaM1ky
A2k4rt9du1TntlocaDQtntkZJ2LAV9YJBw0JB1VidLfHAK2omEQ919a85YsufLt3dBzsHGPZmOac
HjLdjLaZHJIvj2/st4QZl8lDW8nqZ/e/1h97qOq5TaK4e5QQ/PNv/68BHQQdfZbF3w3FF+KND/d1
f/9UtPHnT/yFa1DfUeNwXIgITALQ/fhLsgFODXHG6pZirwkEuo2/VRv8CFvW+mPU0depsZUs+Jds
w3hHQZW1tM4JAz5SGd84Umm8pdp4/gWwn0A9XxsKLEtKwgw0Pl+bsU3bgvFVeTDoSx6yOakwHA/z
T0+eyOkW63oVPgAKhSqR39qJf36VMAR1Y6YxV8mi8Gs3C8glRTteTP1ykoN5/AHwVFAT0F5l+0Dh
LNY7frJ51POqui7n8UAtBFBLSDvLDtxMVLMvZLrcjY0ur0szqr4IZI4uIlf4KfTXtNjwwjZBkzzr
QtmVNYkASCNch2UxSGcTKv1wAb+6rTe/83AQqsBfXifjEakgVwFH+PwXlotFIx7ZHCy6YtoYTEie
pYsbH4hgToUsz9/246UYskI2DmUCnfqxJj+pEb86TNcfkMEpHsC4VWntWtu3b+i1q5AXrbBng3b3
caCb26AE7amZDqqRq8y/MPHI6N+pqPKR6PxP+2e9GfY3Um7azIjHX4SxKNizjpHA5WDIuZwuMLMw
lr1RVWbpO+QwMa0vDSPDoY0lgsCVPbCxynG6R3jPnF9uiO621tVK9eLRSW8HMbjwKZo5ujccVBXU
QjP1+wxFALqG0lHH15pcpheD0VFfmqa+L7wu6awvGdJSVBOitC/KgYnETQa/st0sjj3aG5Ujhmql
WTCj//ZDPjoj17vn/ldUJlyX1cf1+aqBl+Jo9WzOB1ofFNoydI38Pr17KGmE7d6+1mNmdvSoqShw
IAP+RMNwbCjhGnCLVIZyD0lSOghgFUCyQYj0Pt0TLMTuXpTKfFCoOd5Qa2WYt2GAHUmtJaZr1WU8
k8lImaf7dJhs3cs1KEPbJkH341Och7Foo1PetciBvksku93Hsait5D3KbyyXFj2HTV7nC7B1F8mE
7WWa0jP6r8RtgELTuhibvp4CcLdN6I+51erMXlJN8IuiNc4YKypyf2qBtmxEbThfB0rATSBMyLNb
IyYopoM/p9WJR3a0C62vh646s3Uowdjej8M1qzfJdfJMHAwXPqvX52kXLMpat9ND83owkuKBzoVy
4qqvLAq0tlyZUBQA83psPN37xj4ZbKXWjQOJLuX41SBkt2RYV3tsfadYrS8/8/Ub16DUo+CifHC0
Ak2DKd4sXcQhBDTh5wwsBIw6tSeab0fBEw+SgqXF+BdL3aCbuD7oJ9u5WZh6Yye2ONBDKM/EEEe3
BjHbpZloy77Ri/FEQeS16zHej0UHXS0wS+sjfnK9BLqfK5zKZKmHoNxlX+FvkqRnRh8BBylbefv2
t3VUeXq8PwcgDfEa2kk2s+fXCzsac5FZmwd+o/hLGy7jtgbYflaFIdMF8aJdiQQJgexPDtcdFyR+
XZrDfR0f5G93js5+WelOodiDeYDuDjHN0rA9DqcfsqyGM1TexUWrmQk6tczaZWiog5Bk0htmnvvb
j+DlqqXithaVsSUlnDlOoDrSlKztIusQZrisQkiYfAoTUaDU1SkfhzWgf76RcSnq49TG8ezEiOX5
0x6kq1agK81Di5bWKwDEB0lRlUExVupeb/tD33NhQHlyO8ZVdCLrfeVd09lfkYtEgnydRw+8QMOU
m/QdD321WJhI6MOOT4gHa1LVBP4Wb2ipM3GQ9fPm7Ud8JAlbD0v92aWPlllft9JSSBoPbdOMG3jC
8cbOVPO90Gt7uzQpj5zXfj5g1ObLpo924OVOyCNf7heEgWiQ4YOgpSD3f/7shezjrHZS5g/SAjNd
iuZ+LJtTstLHh/j8FTPBjd6ZYEqHv/JInHnyAYdGbBAC1Oqh0Rjf2A60xaWfdoYCYDdPim9DEqur
2qhgNk+XiQZ7pRmmYOgSxhocRuE6L0tC+3wuwS/Q7FnwO57qod0UqGWnE+/l5YpArgYKCRclA1XP
sRNkrsuqhCSrHsBHHhZjI6dzQ9qX6hjShrXNq1Qup+yzX74Ggkw+gfUVUCQ7PpmYgZ+ZlBA8HzqH
G0WNNU+N2+lEcezlh8buCYaO10zQz2f9/GUvWd40jR4ah7k3R7+v++FMmroe0ECMthUZjh9qS30/
VU69wXBHnL293l+5yfXoXdlumCBxID6/fDMvvYaPpzhUWmV6snaTC9uOkxNv79WrMH7NloQ2iEs9
vwoFtKLNlVEcVqb1OU89u0ujzD5RxXocgD9a0Wt9moOdDQtw2dG2UYs6ZHyWgY4KNhRTokU6B8KW
1schd0xG6Toa6J6ZFXa0W6axk37RaL29EaFiGUyylELdNKQgzLvX0rzstdJUvb4qsocS398xAHDt
TgwcltEPZ8HT+wP/ZB+MfNDSYKgHsz9ISysdyohKKr28GBsTVMnSq9tGTMk3h7qQu9XKufuJRsR4
b1v91O5NRhs/G2Xv/ByHOYdcUlXlnYplehkIdap+lEib1b1QqlzsIJs6WJ0MfcFwXKMr44ahPPsO
5CbFp8Esk886duifZSz0c9xMIsYNwUYlXhEaWuM1pVu2uzAqhgXjzGheIH1KG7/kCr90odbyTGcm
KPdLMYEoabQcpU4yM/ntO1GTPqhGPOhnfc2oKM9wdPsAi5f6Z22JSrtVKgvI5m8vTc4fjRT+V/ay
bglP9iczpms2RQxtTo1TXqFcVT0mJLIvb19l3c+P1owFnJmSO5ETbjhH+z2YWVHHgqVZRuF0W2RL
dwv3E67Q0NCvwylz2yrFKUHeK7sZRUpWKMQrTNSONUhCB74Ea9U+1FpX73W8GbfVYlCAlr3wRewm
m9Z16EUztXTK7PaVTxFxFvuMTm2U2sjRfqPnELLzaLEPsqTxH8epGWQ9gf/bT/X1q3B6wzrXaDIc
HWEqDWstbQ37MLGoN7NiiXOrsqoT28pxU5nDeu2REcmjoaP3eTx/kWitUqOtdw6p7SaYMgJeMUet
2tVTK4ECpdmXJVOND9OoJrcur/aekz0OhlYO9wmJ9oe3b/qVpbRm8sA5dIOg2DjaSxkBjrOM7sYh
qWR+nor0UmI/MDpJvvb+pyvYNqcG+s0Xq5ceB1I7znHTomh29DajCFmiPdjOYSiV8JLhZrFJRiER
7k6nqBYv7463CW+Pt8kA0wsSWtKbEdKFWKEeqyGHbNDXeXNv13qghIw9RIsa/WyiZpYnXvLLW+Tt
IrkmGuQDZVjp+TagUXXu5lAqB6Wdpi+FIsGf2k2rfwzh1p+41svDeF1JnE9UfQj1j3OMlUBRugtt
PiVMSxufr4ECHKCbqglQhTPVrmJ6zSyjcPH+CqeYuLRqGIP+7Z1vFQZTz4TVQNxxHOzg3rxIHnJ0
UbsrucompZim5vPbq/W158qXA+CGyj5a86PnGidFRwt/BPYga4uyg93dLatlW4n660Sp/dVLEWas
FVp29GOajKbx5pCmRRdVVej7VptzMIWFeY7hj3biG3z1UoxTECWuXcDjvAVkd0NW2EUX8Byv20TU
+z4UHxc7b06gvl7ucKv5EmpOcMFoq4/PjdrtAGVIN7ropKpcdupQ3GuxKIO3X9LLj44DEO6ToFFB
S3MtfT89A3scXzNC6uLCLhxzzxBx+bntZPOtdk15Ncmo+9AsZnTidb28Na5E9wzdO1d8AZsq5qot
YQCUF2Du0Qf1Jf/opIX97e17e+UywDood5PkcJPHE2cTzmgc5119EVcyOStykVz1nNO7378KCEIO
CY1ZyxemMjGuEGnYtM1FCKvJr1d0ew7R8cQX+2LZoXlHWM3fT+2FWshx5ImOqpsZaLwYBqcNjL7v
vM6evshFPwWleuVKDlBWtLnsxVDM1qf6JCoqOjOKnEKXF5CiUf6p6lfRtAcbIsKJpffqhagXIyhj
L2R04PmFFEZBFAHy4ELP0GPnFjFCpOVZYI7DqWLDL8HVsyhsdS7Vwf/TY2H7PVaH4S/UqwSs7kUY
aXMYqG3dH/TUZdgqjTsX1K9ea7rnDKtuPB316KsxzJQ+Iy8zJ6bkdPxNSDsdvFzTJI1vQyWfvmkN
A9dBPbvZhSwcG3XslIy1BxupXVWRZXRJxVEt/ERg6Bc0XVkqvtLM044pyOXTuqAunGVIsBUgDvtW
WwyY4+NXoP61KtNIoJlEs7nBGG2YvE6WK5ykQV0MPrhNgDbY4g64rAa7uRI0n7FXnnsfWkr1rZ1G
FKutWkeTl4E1+J5heMRhWliziz9w1QntUGJu4ZyjniV8L1MFqZUtR/1MLU2lfN8aat7vOnPJF2yQ
JAm7vsSOdRWWQCr2A54MmW8sg+oCEmrsB0eMabIXUoMxlIEWcXZmrNj9pp0VPHzglCn2R3XW46r0
UMZR0U9RLSZYRSSjvukqTmZK+rZ+biHdtffpIxBiiuZ+b1jUKYKVFT1hTqBmX/XBtfeV00DzQjQK
ya+ChupeNRHMuAOgg8jd2mMY7YxSdUrUdrG5M9UJnbAN2DLdmHZW/9TJXr6aoLMkVQdVBWFqyRZw
YiPu3QFE5K7TFoA5EfTdGp2qUdwUAHvvjDzq70IpshYdWAROpoBP0dKMElYVVBZKw8ZwSs7xsjXP
F3vOk4Dey3RQqGHdp05ZZthr2NontYqL22FprWiLdZiOT4cNZhSJbVFANUm4UxXDo8o3W2Isz50M
dKCdCtDUQ3gW2b7jRlbjgX1ZzmrIMvl+clut25tdok9BFAvME1ZuteG5TaZAfaHe3e3UIS2zazUs
dRgzo7FIb+hG9wx0o4skNu7ny2WY59ajjaNcsDkMtVfiiWlsmxop/+pgY3iYeMVzUAKncxAlKNZt
ZYVh7BtJlUTeKJzktgmdmCED+tFrH6QDa2qHkXWpW6hLaO2Yvl7Sl3ARq/P0dCf/zK5QonpdJK5w
pLfivUEsgTi4KuVZ2RilhhpCb1u/cpMyBW3gdKZHXGxPwaxj/BowLRQjey+rbAGYg4Y3yNQcYXQz
2vaX3IWi65lASj719dA/wN6Ib5a4hQ+ba106e1ma6I2XNnkDbBJOzCek+JMIVMVJ7ht7WIjM5sH5
gfJ9ahkm6dLhUqmM4UqYaf21VMcI9OYS9l8bzc4kpnqlfc8MQtj5yWJMmDSErvhKSWSY/Jph2czr
m5ymlOpE8nMGs+ShYVF+yKOhu0pyiBfe2I71R2HXxY985pHwlVj2tdJqERAIYny2/kb9qjGMhLi4
N8zM41xPzxQ1hchmppPMzhXXTcu9VELrM5m23nsChAdiwn6aUr+Ya1PZqC54/yDG3/RzMdazvlFb
EWkBBYHphqgcyA7OgtXgwa5lSAAaFr4xziyi71rk4IGWFovC0pJVqPphtLjXVakiXpKtlWXevJTh
54Sv4gdz1dlX6EL5/WwCjPbQ2CmfjVlrzjVNKmu915wuO01qH8vOiIbAMup5ZoA+j2JvSaXyx2Dp
7b1hJPJrVC7d12jIYDE3nbOuXHvsY4IGMR1S8p8qyGIX6smQTcP7otO0r6j6ujvFqecfRtpan2tt
TAismzqmzJJi7urYeKh4botHX6xEE2bPbnpLqOx8GeLWyL3KDfUfqOiH1k/5iYulK/BcLbRefB97
1U6CxXamyq+iFlNg6obdd2Sj1dccsPX3OrSNu4KR1C82jtwsZYnWE+V02n4oVNg6Hmwq/QNcv/G7
u1Rd6fWTig4ZbKxzB45a5H7PVOBVJZhV8RbE+ICUbdEiV3YmsCEhmNAPYy+dbNMm9pj4KF3QlGPC
bY3BylOcKAgNQG4mtTELDzKhsPDGsRnGgcBmf5ZFIX5a6ZCEnqSX+7GXgnH3pEYtgC+lDvKrSVK2
dsZqPOa3WoDjcZRRpm5A528eA6ffUqq8qUF5pl35V03LM4kLgos/r7+qQ579y6akCTxf9z/a+eaH
7PNfcpjoR7X+l/+nf/gnEeRurn/893/dfy+SEnQNm+JD91R3grYIu0tqkP+uVbmtfzwk9/l/bn5E
SVX+p/r5ny9VNN9n9213/+pf9aeIRVPfodsgEyfzsCiwUAL4xR2hBf2OrW8dRaXwg4qKcKtcaSb4
iuBGIgiAaRjzI1RALcpFf4lYnHdEllgvkj2BC0GB4fyOiOURVvckzsIcjYAbRfFqs8hDOB42Zzs0
iy4S8VnZieW6YvjscxVFEnx/DTaWoYhQO3A+WIo/AVHZS9CqMxgfDD/YL1WBnU+il4UHuFhNfWK5
7ppR/exbl7vNHwyeRAiQp2q8TSKrvluaWe9AHWs47FSyyEZvwaAMT0aR4UDlMKdxFtYJmH05xuFP
V5tVHdIJaYkX0kig3Jhe6XrOVM56HNyVCzMZXobv0E1mSCvyXauTBA5FrVrAlGL9E/5fUD6MxfiW
uzY+Wk3dWjsT9MmFXUOJ2Si6MM+Uym68wkn79oaZoMzZUsGIo5swdKIkmDoj28NRdj66xvRQKUX5
XlNiqZ3bESTcjd7IbnqPMbL2QGHAgFY0Srbi/8uf3f/ED4rWKP6ub35Qq4fOf27/jdzDz/5F7rHe
MSaxjiszevnL/OLPL0jVQfcwH0nVb9XEq+RYf31B2jsycWoLxAgOKgLSvX++IIFGjIEIBGQI1GiL
27/zAR23gpGlYTv3KM6CV4sNxVGiJ2MyPYcjb8fUXvWecbXiNhmGUfdk7BZ3jWJbe0Hp6GZK6+VK
p/q5yey431lL4ZxC3Lz2u6AawsCIm1/7/ke/C2SplAMCnC1MaD7K0azwmpW2TIWvD6Xm7OJ2rn+a
Vj1ekMwNStDUjbixonj5XEsNsuaTF/qKdo3YgpTw6e5CMQmDQSZr0SwzYntcUoKBBYmplmIX2hTK
PJMYLGNEM+w/toVhvC8pe19XGDPiE9YOzAe3xFrFhtNyukBsZQLnFRDXPI1O+odsSJdkE9nLlAYp
HKXzvtGabDsrSwZdMclTLNhyZrP8eCoixYPTV97RfRL3Wpq6S2DrdXuLX07zXTFwW/QzJJgfTGqj
OA3ES7MfiEzXJ3a7FE38IQbDoHl2CTGASTk0gJ4iZYg1Ql0UZwbDtSFxmBsHmjX+GOILt+4wIBlG
M3/QcMEDx64nEZOY7dL2O02d5BX4UverlpZGj4lZq7rIzhFMea7VFjVi4TxZ/GzS1PfuyOHuWzUq
fEZ7YwbzNWazzy1Ama6v1Z191VSWKDeAC8AQVGHT49VgJasOz1L073qhMXdoRdDoqKbcMbQbVl7a
ptU9qWB0TQczQ36cTNodBnQOMmZwcV8RcbV3bdtCphQDA7R+286R5bHHTZ9SqASp10XEKqTWjXxw
dEi/LO6++qwtjn4zLWVUgQqsYdeFWehcDAyt4bCsV2l+hRAvXr5MzKzWzPdBGNzk6JYh7lhjmQbL
OPW6hyuFklzTOdDU8zhvx2RvkY06l/miQhK1O4MeWEHGcA44vNUu3ClaTJ8K5VAGribdlhZpnfwx
jebYMiXcpd/tuG1Vzqgk+aZgswm8sMtVLFq6WkO9JI2l24wT/W+vdozhJlMUmW0yleHHYGB7kUGi
VcqwMUOi6C2ElMplKJHH4INmI9rNhqp3tnKKEXaLNi7bg0z7IrpCpWGoF6YK8NSvXX3O/DEby29h
nCmOh0Cgs7fZUONqN05qZfodasgfE5mQeW43xhIFTZtO5bYFejdvRsZoi3OlppkduOlkTmuZIV1z
NLP5SHxNY3Ya8+RL56RJtrc4ekj/pJYyIC2WtbGnFHbP2Fe03PWuXKfJa2e5BKbUG4fW7FuEEjDL
RWBDnVQWXycP17yMx7arU3CF13m2tBAXHUn/X6RZ/JBJEuazMaK2TWMwZs66kZGd72N76eoAzyrj
HHJqh7geKOCCMaCdXmXUvL43buVoQaYZeFpqRVEPwdhlq0vknNY4H+qKVINKc5qf3HH9LVS1qqC0
gBFIUNhOwcGfzuF720ygi+bdKC4KCtTEB/CZ/rDGdLqlOdF/Kmvm0r2wwTbXh6XY1SxjeLtBi5V5
FqTS7GHOCqkXwWQk+lVLJj14SzgXpk90pGM1gB/5PTIsFaEDmD/Ni3VdskqKOK3OqSFpn+3JALhU
LlAfg65rhveRVaTWWZP353VcllB8+0zcyRKFJH6A01h4ecrY7TZpUNEGySQ0DGijinID0D+ScKE7
oGqJJfi4mJ7twSGgAr5yx6V2NomSWvfpmDTf8Fo0PtBHaRBcsLlvoL0AkUdNNBW7cYJOyuy9GmM+
2K5J2oB1YuyPSktRTh0gAqzph8LLnpBMM+Tr8FlMOg9rA/az/IiRjZTbzB7dw4QdphlQKXM0H6Vn
pPq9oufXTjNo15ZVFB36Qcv9ws69PNA7m5jWZTKpQdXFke3ldp881Ay6vi+gUC1YHBa98Bpbsc0P
ep/QnkE0o9+vxWXMjRf6GN5QzNmHWnOKkbVJzuabGjNNTMfinhS4IbOE/ryM3eK3AB8qfh43+n1v
Ns416U3x3V6kvYtCEZ8bk8k5qtnK4Pi1Oa4VmJmBDK9f7Xs2RtODx4XNo3pLl0VMpRfRuGznIc3+
IHzsftYxZbkgDnv9e8uQqwN4GPToFtmAqWwbfuamNZnb2PSwSt+XhJ2Fp9uK+JJpVc6vCzwBZJnD
/zblQKvLmzpZ/8B9owm3w5QsYmNPDsXShWJw4yH4nW96ooX5zBCqmHk9Rl1u0kRmzJJoU3jp5lVp
+F0dy0tMXRIMNZ2ysv2yshrNS1JQvsHCS6GcpLGv4i7Bh89pBwYiD7sFt9E4maNzSvkYQulhWVJO
qlPzITWx8EQhNXyO+L5JLe10+ZMY9FvZ4b/mfM8ywzdzyP+RwSxByioL+/fs8OK+qPsyepYI0ih5
/Km/wljz3eoT5xB5Im5FXv93Iqga7xCUIwWlpE4H3qIH+VcYa7wjcFqNAwwDGuOvwc+/EkHrHf81
Cm70J6iEiHF/KxE86r0gR0WHSpdMp3hL7+p44EsUzagg1BQ7t19KP+xsdTdiFH2ihfDiKg6sGfT6
3CySJfojz1sIDbYOvVKNym7Ic505YSUMbLPWTsSdRz0yi8cOtYo23KoLe0k3GiORlVbuhrvCmZnv
csgCsz1D7uOOiaXhm60SMHh6XBftCZHDaxfmTcKQozEOavRoas6s9Ua1W1XZ0UVQfVkk9UEbjJzz
Kul3LVTNQKq5ev1kpb0SZa9B/dMYe73bdYycEgISwRe9VKUY09UYRdlJbMtvUaVKrHdbQbF5Hi7N
rDo1tHfUEl+fLq1UbDMQq7BLHScZBDTzEtES30VawrhvLX8Aavgjl+2H0clvYX/U2yIdz0SRndCA
PvZ8ju6URhq1D6xvLMRp5IhPO10c8CBNqiXaZ4qafVOndmZGRSNc6kyBQ9ESb6ZSdbeqEa0bJP7b
XVG595NoPg593N6PhLynNBCvPHx+JfTqaBHWkYKjX6npRUgx34j2WjSmfDHlvMFqqTsHAz1tx8Gd
T6kDj7+g9ekzRcDqWpNahHrPn4Flx7HSllwwahzOOoyd/SovTrHtXr8KVjorjJa+1tFCdpiOLBBz
R3sxx5EPurNFexaZJz6XVx7e2uRDcKCRHNK+fH4vmoGRuVnGBPxFSBiRCoLpFu3wRWyZheVFmXmK
7/jKfa1mF8xF4q1BuWv98ye9UnUGnNkIyRW7rnjfaVl/niXaqal4KnfHXyRbD18k9QBkMcdEuzxx
J4f4NtkreUb/II7Mq1nR9Z0O1/H3tzoSbOqL9EmROBxLdmk2MBiZqck+JZW/YZ7Z2deuyixU3Ia4
yUoTSpHZmCd0lUAOX9ziY32S+qXqwvc6HlTq9ckQDZaku2wqy/ZKNwb9MqWamfsqgKfvmpSYZ44m
iMINpbbyh0K5SDl0TZWeJVZTNAzgRt1N6yZZHixzQ1vHECjlA3uFrhI76wX1PFepbrvFgjsVy9oe
MLAw1DkwrFRc1rENySKnkYm3olGaZ6DLoe6mVE1vTHcdkU8sq7U2TJeKjz1MbXAp5EO3669dbzqA
IpL2XGyrmOcN7sNQUQ6h21WPDcbgjdPsdNkCQ49dI/w5hjxbz7SjebjSa5E2VD7hkwU9g+tQ0zNS
jl1cCudCAKm6VmEX3hVdwq8XDQSbAYEhTQGly3Q3EPmKRqJdOTWeqKTR0FYjbdoyxDYWgeHI+obs
VSa+PZcFpKAyxJwu6oWmFDDqexkHKlCWwtep+Md/iFLk3bbh+4p28NWdeZeKWBebrAzBaRWiVt7b
iqFMntmo4MnjMcPEYuSIYnpWgx7vs7WBeJlcN7wwkT1iLj8M09eiEzCPtKUgF8sWuBZbQ+Sq5atz
HJ85ExQx39RH/Qb9TvUZ0MJaDrBN+QAGZy0SPBYMjD6ZPykmvDxP5E0haTit5YVprTTUlWp8VR/L
D+PianfWY1EipDHyAbu76r5XIgWXUqOa7xgpyD6EyiADkjb9Oz0+Ch34nFH0CNH1DR5QZ4oh0Nup
i6QEA34Mt+y8eCyczFNJESWeebcwf6itIM9BzhTrJn4AYWTOPynLh6EX0/3BLXYt0OhrqUYzMBje
8S6UAfZ9xyTFuBZ2oALWy0UfY3NCXJ/DTJy3fRHmZxHgoZGBk4IkC9YoFaPksXqkroWkiYpSStrk
ZbJt9m5XG9ZWlYbyPm3xDMDpI2u+O4+lKS1zGAOi33PfAzG6M+F94GZKFknr/rG6RUuVSlf3WPUq
KVydR6oB1dTJ8MzcENNkH9q6oFpmP1bOmMSbLso0aotN+1hbG/uWOlu1ltzkWnyb1zJc15i0o4o8
oTpnP2YF8WOGIMvus1LQ6dpMawJhPOYSeDWSV2BuX6ebJM2nfd519B+HBN0Q/VatyjwgxMz76dli
KKALaWvaUah+Iv9QryIt1EJPsZMm2tCb5YucjK67nJz16ZlNWaqBsfTmt9qh7b1NNLq6AXMPAx1r
PEJbj+zUfBAh6mufAS43v5Ciy/5QQrPOPZN2augZRa0dHKeNsed0pvwKF6Hw4LRUnFaW50DijFcx
wDE6aZeU4DRlM8JErgMGzqyf2phqd7E2d+2+i/C95Ltti2Qzg4pIf1rxYv0RZyPWWWXq8ve/HcK9
PDDWvRsRD+uCVPzYWrQBH8JQlkj2KnpfLNXTxQ+rUr9KaFHv377UyxOQSwk8pRBzYRt3rLGibqd2
lQ5ybyqn73wZTVAZstj9/kUYH3QgfyLmIoA4OmbNLlXaiPtx2qX8oNgK9AirXGik/Z1ivRL4vhIP
Is9eufmE3A5TK0eneYPgQy8qEe+nQuRfLRVgnFcbq9ENFoHbXKACMIpWv3CUZW0f2zHkHLyNFrta
9rnhtHtIQc2JmOZldIxCjkHtlVfDi3yEUTyJMHSjo5o3h/HeIUg7RGHcfk4sI7rj0Oo/xrTU9vWg
4OteEyQOfIa/YuT/n4X/FxO7a1pKyvX3GnkBFPB/lNhA5P853DOOdF929+XTjPyfv+Gv3qz5jvlB
APfQddYUivjzn94soj2NP2UKfvWF+DslV9/ZNjJ95MBMhR21ZsnjxYqaYUSO0FzArfidztKv5OFZ
vkMKyUyfCwzYxalGrOnmk7XULk2Z9LmcV/1SlHtari/8n9VGrf5pCWOn3sZ4yLqbCRpkftZLqqxb
cJNt4pc6SdoGJZxDgYwhjy2e2mLYTOtQNhrBIjPqj9QAp6+DOWg/G5yd2DL7Cv5dijcKPqxdY1mI
7jQlqHt3yjwThKjtC2Mxy53UMNfxQs2qmpsCn9f4us+1fvEicwg16IaWnD2dGi5A19JI0sBQwqE4
s2rGTv38f7N3Zrt1I+mWfpWDc91McB4uzg25uQdJW6MlWbohJMviTAaHCA5P3992VXZZtjONOuiL
A3SjgKpEouw9kYyI9a/1LVsMyxk7KseLKE21Ud5L4cnNyqR1grxIN2NUYnW2YwMQuQvyKJ+Hw1JB
gWSwr9X9YW4WBD+izzbHPXnC9GFl0bWwURRHxW2q97eIoa21cz2KR6Mlz8w7XzWLiJJlFlPYkWuS
sZMuhr6DZaAzfXF6C9NFS70F0mPV+NfzPGGR6nTsm3itWppdEmPIdx2AVqiPwdJFud8Zc1jrDI5E
ktFPUHqB2M4AIJ2w0qz+vMZlOsV+rk27DoMhE4tu8D6XvZof3bIVj67Ms8dcrrintFFL/MgiCy9i
ZMamj+WQmu0GXmVzic6aVhuEpV6/BZ6Yw6NdOyYoNhtKLoYpGMRdkXn4afphLUd02yq9mN3CP/Um
5FFemSy0nON10nFOwIbDcbIvgqjQcTWSen8CjjE6Am6CKmjV67UmC68IZVn1/lbYEyQZ9mEEg3R+
i8VXbIm7bB7iagmYNrRF2iismPM879y0Fk7YmIM7RYo528U0rXkTWkFbqEgy0nlEC5cwINMTjKZe
zSajqrlgjzMzupvCIZjnNUpNQyREokbJBnZS9hvlR6dPS2j/VqwFYXPqneE52nh3nKgdQcaGgrxq
GkqUlToaKRh7nvtV0mdF7fl0ZXiYQ7kfisWKJ0yVL32RFldmPXvXfZf3r6rJW5SoMZ0PibdQrVKb
ZXEVVLMw+Ubt9Uxn9nEbTJUHm1L40mCjONWvI2CnPpx7bGiRD4Ox2VhZ7txoFRWAvdF2N17m2I/J
NJiQc915OgpPr8S5rB1aFpkl1F9A0y1UuqFkvS4qoaNtMtymhe8IyjGWqlb3ovWW1wFa+T41+gKr
aePDKyiRnq+5SrRxQ27NO228Mnvc6r1qz91mdCFe5mK51NCc3to+GG2cHHP3lrt+Rw+c6ZJo7+q+
vhcCIxPbQWFXZHhHo9slidddy2HozAgKp0fVhNKHvVy1Sh7yvpzTcMk5MNfOhHdi0GTwYKb+Mu9H
NWPPEkWTffL6xvw6rXb6ORmcQgs7Q6iW5olSsIOvRTIypSTmRINjQq7J6hMmYcxAhmln2IIGsCAA
aoeGw5mjY63urt3ZwTA94s9+HK0mo0FqoionbKrFbbatkZN7y5kq40RelLrV82BZt6DLUr6WWuKk
G02Jj5MHAU6uOZPTFFeQxzJaiheeT0PvLcamhQUhol75XCjM/DQoDZ3FTLNfWp5qZZ0an8auobdw
Jverc5JLl8/VqijwMG1ZHNwlRVaayzRjd50O1jGBmpxGeE0SDkpVlX91hmnywpUcnxV5Zcb0RMv0
2o64iawzK/PN/DLgqqZcjxZ5AARzbzFoXjCm89yZs1AnydeG9HXB08V1nd+V68KU7eRuZjwsF3cJ
IdFUS8xFZtI1aQTa1dSbeIFX268/DQI1OqQAR971ma2/sTkzm0gfBo9ZTwrDjI6R9j5RjlbFKiuG
5qyyCO9sVW07QJcmjtMYBSzhxd0oqGskEtg/LboP/rmwpHtpLLg2drMxrdd9783LnkZ272kNnKna
TXJYnzta24KLdOiqqFyYqEZG2wsIkZk2YuHG3013tqa11xpfNZZWoZb33iHOGC6u7WdhWvtztmVG
4nClqmK8KCHI3jXZWl4qtOZ7MFe2EYM66fqwNAt40ItQsPwbi/64yHcnKguMaZyWeOFLWlnoCufE
KczTB4f5Y7tdQZlIzuApzlk10/rFnV5w49K5R0McwO22CJPGd8R2smX+aiNjTxumk9wR3ejMfHYO
7S9M2UcQ09ypQ7jQo+jQAK1XGt2GozwyuXEI8um9fpi6dNCutIaqMDOvGFo7iUWmnJAKdfBrYDNi
X3O7CEuN/zOPIcZfAa0IJyvUXGCZskf1tFjrfNBSwKGRVupmFveEabE8LjJIQnrircdawcgIs6TH
jw2KZ802tpCUlLZg1vbjxHIbZhJBKnRXpS47Vmh8zGPN82Ttxg7JwJ38mzkx9S708rwgzzpmS7Mp
EgMzL3PR9bzuxPR17oa8g7/teMlF0il7DLPVqVpuc1bgZSFto1drFRftuF4bpc17JEUNEdpzyoIZ
PR2T2i5X8LDQYbJxItDaDK+TvsYlkgNOBWB39VZHacaWwY0e8gOUVkRXEA8B6gqnr0IWNWUJGMX7
yG8rfOZJ31L62vWrn26Ax1Jr4s7mgIO2WstQaG0Rl8k6f+r6quaH8ifdi122LiISE4yVi0YqnBb4
7BttU9htAwjWWVaHUa/JWsewMXAuyWI2l5JtDU2FdVEYxGLNdHiri2pSB0AAwo+csakMGjHBbR+z
KaWeeCQkeJ8CLWX10kc5IYxp9KVqnhiHszyQaEyNcVrPjHIRwTmuo4CnGO1y+R7In1bt6iY1cJ5C
uhRx02l9Gw1phUP4ux3zL05VPyp7+FpIkXBjmSh7ZKaZU32/6cwbpfOzr9a+mbhsor41hutx6UsZ
aXYyXNk+TvVvr/hvnVn+dib4YXr4lzPG/4GTQ04cjLtO4uhfn1lu8xf5wynln3/mz8Gh9QdpG0KI
/Br8IifO7J/+NxykJPX0E7eYIrqA88E/B4cmJxGbohiSVFjmDGLM/7K/GX8QquFsEuB+O9mzODb/
GxS0j5fLqVEFNisSNxkDDC4/hTFzr7VWKEXpztNPgP6upIPbByKwtarMuGinVq2b776eX1ygH8WS
f7wirgyO81yoVJf8IC44tQjKzEmzHbSV/Mzt7SKW/Ne5i9z0G13mNID41wHsny+Flw7+JaFl/UeC
sl12VoK/jHhK15iQsBZJ15U2VMzV8S4bD3IyZL6TCEUrS2GOx+XvP+pHsebb63Pi5Ze1+f35z0ls
+O4AqM1I4rab5zvEQr8IM8zec9iIpd3+/ev89JVSc2gg6KPzo+bji/z4Oo0UbNN1p9iZeBMjyiUQ
oNm/4jP/0ybALYoz+xe/3k8fiYE1PxszJSKmDM5++EgU3OScvIdiF7TkPoIpo8ewmX9HDP7Vq0CQ
Oo2B8XZzvX/8QNCbTLR9L9v5VdbtJ28pNqR4y98Aj3762vgscHkZ/gW2foJ2fHyVdDB11N4l24Go
UxXnmGT8wuqOPznXh98RAn71kRxuZu5aZHn+9+OLqakcfG2kVLBL8vYLBhs9rGiOK35zyZk8nD5e
82RlT8aCU3iR/sAfS27axFVBOZb5jjaNxLyfnXXUz5mPoDa0i6v0sJ457m91zev3bYcYsdGsAMDT
Cf/T7idhOVVk95xjIyFSz8G6w3Y4CsB1dmwDSsWcT5vJSjhromtbxSG22awwhdwNbXppdZ6wvJm/
EeWMj6ocNxLPwZPSw5PVhnDwI1NFn+qx0jiR7Lq5buJ01JW8cRqlPeEe0l/B6fbWhs1Lps5qiU3u
nVLdtjsfYF3gqkJ8vparNFEHplbDVoYbp9gVwmK4RXMIgGB2ZmqKCiwi7oW3EHp5+Pv781tT0ocH
kcfz7lRHil2fa/ebEvrdg6DDwVrDf6APQ1n2o++vON8lZ1Aatik2Qau28AjEOIgAg4+9yGcEikF9
6ZkDGY9uWk3ldWEIwGm2qjsg+lYZkXEkpljqBZ7GhhQ/h74mL1LOWmBHsAR26EVrTsDoXFsrvbip
utH93cX2i5+FD+NY3D8sRDx+Pl7TGl3dWevogBr6kUlpDwUwjZXbsx1saP9qrg2wyg5JoTRXcZ7y
LW9wNuvB5jdf78/v43RLnZhlVGLB0vrh3jJNpsJ9rcpdy+m73zQ59xlhrSSpnpJUzt6nTkrMdrSk
uNInLEA1w8Hq6tWilSMoDDJrAb05ASx2bHKZvW1TYDabzodRHp409lfeul6HTsuwdrsSyCu3Oq6B
W0/kpndZCmq+wqxv3Jf/ZeHqVpNdlbvVEeXL1IzGk5cNKNlVWc4M05y2+Y2t4qcVHGc2izePQxd0
xDdg6veLTJnrmgXQoNyZzlKzyFCAEK3EPq6MPF2O45j8rjHgh+Hx6W5EPQDdxDOGf2AK8fFnbyHf
edjQip0Y/LGKCntY6Jhzc28JTx4N8xGXQ+Ju7bw3072zeJMf5QYzoNiqcw/Na5hFdbC5Hb4oU2XW
NlGofhtIXnV2k3oeA8/CzGSNqFimX92kXxoOU2OjDh3ORi9Ws6RKfaTOvXxZUBm8rY0D3j9vdE/7
9PdX1i++Wx9HlcedC3qAJMLHT8pzZi0yJnO7Srn1faFTRCr0urwv6WffrLLRfrOQ//L1AH8QQ7Dx
VzmnFeu758Racijr17TcFXqWXUsas7G4Ll6915TptHQ9FfPb33/C063x8cmErZk9KOsSmxTrx7Jg
Dv2T51c9z0O0bIhKGloyyp2XX7VIKdcwPGraV/q5/B3p+ofpz+kq4pXZF53A3mw9nR92ErPKqJNZ
VbHTkRKRkZh6WRueen7KfVrii1mKlDum5ZnabLvCrT9hUcdvOmbTeNaVntvv/UQGiJMy97/8/bfy
884AjwmmFlwgJ1bej22lqSPp4DIt3htH8uuxX+ZDrnn+3pS68fD3L/XzvgB6OjEpMO2cEPhGPv7k
nvSIXgZmudMzv732apcm89qzf8tb+/iM9Mm50ElnUvFh4hS0yd18fB2OsPak96fXYflpdjaQ82d7
kkYRVs4wf2LkVeZMItYqC+m2qbzt3Chq+P7+w368vv/xJjCAnc5DRNXQCj++iVTqIvAzVl/ETDLF
+jTt/HFwb7oRHQaxz7J+80P+6lOzOXY4KuE5Q5v4+IIW9bbYtWUBCzRQQbS0dXtIMs/+1GgYX2I3
Zz2w9NberczCY8FJ//rf/8Sgel1iTnTTcM1/fAOtr6W5py8FHHqi2qahxnuqsv1XTmIojRpems1/
4wVB44IygXFq/Vg1MhKiYy5jFLu6n7ujlhjGjda02YvoS/PZSOv6N16iX33DLP8YwFAFubR+fEQC
dUfO5FaZixM1wBR5T3krsizNFyyimKO7Ky9BduShktzM3VQd/v4DsxXiO/zXM+x0VWGqo/aCICSs
DiowPn7Hmta4hd66xc6ZRf8Ja/XRT1PdCeXUZ6SPGQPepxhuOrS3Sv+cAlD8tJp9Xm0QtLJsx/hH
184mVnH/vqkNrYlxkBC7GZiMOztL2DXK3OrpCegE09BQNVXgb1Mnxcsi23x5UWUin2zhq2WDGT+Z
troLNBRFvchfE9cY2fPno6XCnBbo4bSUkYlWniGny7TSuhfV59TQJWYVtJvep/42xvyKBTJLtTR4
YEJHi3A/D7m+oXkOj1W+jg4alKlsUgekr9ptiYC5cn6xEZstdwT7MCzLMIaBJ6srUx+zz/Q754dp
MCAsSrxNHYOLJGNO1KXEGxavXIfLdqVPzEypoD7PbGest47T4y4SvQ0HOguS3CbKhHS6DyzFaamf
3THYlyRPMILkhqtdrqCc6r2ZaLSDKSvTS2ZNND7HLi7L/ZC5I66x0ZqhQEgGWhcDNL0H2lCc6p3q
Qas/AZH7ZKc8yFoYjdZJj1YXE+NmZELXboVlYCcLandojoVja9l5NjLwinyBGnpm2rUFvZKExrQR
gWgapnh6kIZeCYIqhH7TkB/1E/+SUAO8D6pql88m1DDzvF40rz2KtAKUWBprvl6XRoZHTJYEOqIW
9oaAUlpLvjL64BhdYAysqIf3bLxjTS/l3kt0+V7NjsaX72RzHwvqcOU9KfdSgzWHe2ib4V+aPuMd
ctcNTlP3PS8n+IWDRcZ8w7e/Bmc8/smAF6on417MEqUYr5t6hO5nob+m1kzopKM0KBQr+KVI9p3y
jqXlMtxllBqkL7JbV3EaALQWjOeyzeKg0Hv7wkad7o8jM+Z6m5DkMiLa4mgibL+1EnJFk7kmp+wH
ccdd1x/Zsq7PZm/r76koQSm7p5JDpgv0HQ5pdqpKmpPSJsqC9Y04fI4qGyijcuPyW29idapQ5O5r
msgVAQu4+tayOLB33QXfuhd1a/E/eTWFjGzQ6Wa0W61lFHGqbDTG9oS8cDX/rvnW6SjXWZO7rPa1
YmN8631sv3VAOt/6IGtx6oZcv/VEFrlRPY3Q9+DaOt5A83ubao9GcuqX1EmTlCH9etmnwa/wjCzf
2ig1/dRMiQ/MQy9J3Pbe4sxMYaXV2/4ZabMTIWHpnTUqKBs5HyzRy0hXZd5F1C22mPDKEUqND+tl
p+hSB+9Hu+x43rVe8Jm5s8TN0pZLe4Ylmw+Y6npHv7pMUmJCNCZvislxHtcKtS3sM6ngtZ9EpLDK
k+Fo2QMOWs7kox5STkh9S924bJIdO6OyhB1kfwk8vyfQGIzTGilm+joYgTl7yzXckRFf6Xg/Fa5s
Nno7eacMIXkayof86pOZL+0z3a1fRZmOEHI03TxWeoPfdO7zug8ZzZvNlS1767O1TmKMfLObr4BU
CAgYfeDM/LAqOJ4gsUE8MaoHlpDVxFwQ2nWUtVHPL4p1snjnTrPUW2uZ2PUnPRVtG8PQq8/MkZkb
8lvDIkmqpHsgCO5EisZfYNqjWVyY3kh5Kokl58GT1PNt3TUPnn2qQe+NIiET7nbjOp4lsi6G7VpL
aK7GTK4mNJyOlsUMXeOaPGi/bpjVZ00EC1NBQU2hYJLQaoBT+F33jikumDFHd967p4GZoFC1qI6+
d+qpS9KiuakNQoh4SMf8mmn1kG31WcmntuyCozSV9q5GM7+edcgadQ4HLbL0zFzDVqZsKtgyjl8L
BmULgsvIS5a6aA8Oh0JwJUnLgzXDVrp1QOCuu1K4IJEQaXsRflsc/782/58cB09GLbIupx5etIdT
kOGvZfo9hSzVS/P2Hz+VlvzyL/qndm//dYWJBxcCKzqKFCI2FqP/o91r1h8GZyWc4zh/0CKYIfxL
vHf+gHzIaAYxiLLOb3/u3xDv2eb8sP1CWuav4fjAVoRgBaeqj3ufpaUbMOvq4rg6w5pj1DB5GAGT
OgVK/Q6eo2NiAegpS3D6J0z1N0zNbhOQ/HWrIQK2xlXjw9Zj3L8n0G4etA4OzqzfT41zN4z57Tha
n/lLPwmh5KZezKug7d/cNGlOlJN0l1qM8zLrC/o2fzbQk62Y0repUEzHyt2c2KwZ6utQ3JhYRe2k
DjZJZj5DN7mvWFHLTL3gQO1u9DzdJmJmrGh9Fpk7HIWOX7Pz223QyySG5jJHWqVobvsyKe+RkDQM
3Hng81nFXsyT2DVtvcnwRJ+744L5YGpvRfkVqT0NBaZhiDpp5Ch/w4wYBsaxwXqMx/8sHWQaskU/
lsPZWk2nQEZCkq8bzz1+4tt0XCKfZTNTCz0G836Yxq25tsPWFz4PESFR80taLijBORZzdjashRU2
0hEbq/W3nVU81jVhIpk8pdgZQt1Ut2uioFuIV6A6Z1lxI5KkPvqMd6NAS1+nqXuirZVVvJM3VV6w
soqETmS3S5jcli3CNOYeM5k+GWpOWKjoSg2WU60ZwA+KjedD2vd2PKuaPd10P2OEBaYzHFsYzV3v
q7hJ636f2lOMNw2yVP0kbZwrQRecjWXykAnT20qJmKXW/opG9i8uyZyYQMtnwZqK9ad7gmN8DYFn
V7bmsetce2sshn3HtfbiKB57gzG+VEZzllJfupiLf74yX9pNVFYbi7uzguFmxmwlnebVI5d80ja8
25aMcFQhssymlpsxj/PknGoR/d5LMRuQXa/x35tEw69dQ7bHJs/0O3S2F4hx6pwrpj807lTil/KM
NmxGDCulfkLyoIvVRQTgH6cH+q57SV6N6GXf1NN2Rk88ssr4ko1iN8Q2r81Evei059kkfurV+vhe
C3y2eDd4+c4ylsjxKvk2d351WyniyUQ07NOXkienygLnYGe05UTUEbtH7E3msR48fE2rvgI7AnF0
bFh0Dj6Ouqtsnswx5PRdsMWtmdwv5Ig3s+1itnWt9Wte5e2LtqzqZrXEtJmmdji5gki8VAndvgbO
DBoTC8xslpcdeYPO3kmrnqm3yRRas6dlZ03wpTj4FR6gr6q4SKycDVzLbXLMDLs6rBzJcMFIe8uk
x3/qIYDhr5YTs4K6Dl4Cu5nKsP2GbyqRwQ4L+4N9ZXdQj5wWSYhTe0YYoWgwC5YKJF9YzkUN1cxd
73KtMs5oXu1umzVLDlBgsRJN/KLUvxf1RvfaUx4AtFqe2X3U58uNVTT9gZ34/E5TprdJW7vb9EZ5
7s3uzTiutA3bpHrVKvVbHAdvrNx9PHqz2K9a+1YGQRW7w5pe8409Qwosz3vDpxeuVldss98rjZJP
Pc/Hcxvo4TU9lA+znVphKRL3MM3avGMDD/dGatkt8Wwz4pIaYAtaC1gEq41NqH97zywM1KCqjaRZ
aEe7lnU8DwGU7hQk+SK56QgH+YJ1HFfjeOFX9IbDvtiM5XRJPfwFdIgHOWKY6RjO8EU09Xll28y1
Fo5FSfNUj/q+WTVMUE7jYNrzKS2nESlepfcuJHxLGbCZAx7uxMmw4sBweQOI3VVZ1bFIMAjqnr6H
UsLjBfNoxIAZjrh1Xbmy3WNZxjZvJgcwcs1e5dWxq/GiUZeGya2o2R5Kfb4STXKUiXfwa+N2Dcrk
rFWlvtUMiwee3Vrng+FfGObSRpnGG2emyiiGy/vKzHxquHOJFSTxnlNnFUAACv99Wau3Ze37i9aq
rjCUvyg9Za5Uda7HyIj9lgvJLMMC+mXSmoOVnAa1mqpjxt6bZQ2WWE3qaCnKjYnMbZfAra8Wd954
i1zj1pze2tqLq1NGcxDdYXTn9BZIcnqODbCJe6WhZgp3B5D0vE3FuHH0+R631JV78nmVhO/SNq1C
SOTtHeECtt1NLJRHyxHAYw/DWtR0bbJPx+SMFtyUYZ1D9c4g0v3KirxzG83ecD6FvO6ybiQejp9G
zjWdgUWGZzDpPHb16V2XV8NDmuawCLuMv2SK0pFYiHsz4eEqnWCzoH0K5nTDl6w5tEKFCUmmfD0t
jmZ+hUp1J5b8NtODfb3gSCmapXhwmv5TYpWP0PKasGgBj3laH7vgCkNvcnbjeG7k6k3v8cfwL424
c6wkEkaiwgAfpAzzqr1KtC4AqmGzkmv+Q8CVbFD82gtWAYkJx0kvtFy9N5Oe7MnoFg+VoLl2yYPN
nNVxmqk3rWyuFqs784Y2dBMvwgzDIFXfcTS3Ii4nWtSFRcrKerHzcZsY/v2qXfZ1dU2v6HRIh/Iu
0Cj2JZx1YLoiQxS4SMJAhPmnt/u54vopkF9YehNH089pl7w61RTup0nqIb43K9J9LdQWKE/Cuysz
K9jOydeyyjYgOOoYsmi5qbu6OVvG1d+US8qZrjosHQZKLbW1zydUzYaj+nlvNwX/KtA4gJUPwm3T
O6n8PnLXh1oJJ8KP+Hr6PHHT2ng26ye3pTy2a1OWSE2e13oWZzU+YJX5uKyajTPeStfKIyVWICJV
c9E5/W61V8L8Tmfss6I+W3LT3fEZugtJL27YO1q+6xXP4sFl6S68S9zZX93ReybVNRJXSx8mAXLR
rWabk8V1anphnY8sbnPtbZl7XPeJfmQ0eNcK7b5eBQJMbSU3utuU94uO44cT7IwW51wRgzOYafF4
LPJaj5WSVUyVyCOmeQ0qCwjwfGFfpYRJ0fs0Pyejc2fl6+Vk9j2Cmru1plU/S1EusWv1OJumOydX
X/0k9Q/rbH+h5BxehagJ9RpAU1P3aaR+MSxW/bPTJ7j2YIIZmXBhrMz8+uD5N3aTtO95Yw3XTjMb
z63njBvNY0q+q/C5h35nxt3sjRu3IwY+N8a1aYNrylsnuxlAotCpka3XDtbOrYAL0gorahyJbkFD
O7LYEHZqSV/NVuvLMMnrbVGOj1VNmE3kIBw8I98OY9JHXV8W/FwFUB2ud3G3LJOxn4wG1o2MxSDQ
PQrZHKTT55ukmZe4WXtx5wTstzo7f5fsIi9lmvDLlZyVu92J04jtPi22Tv/FGjojJNd8XvYloa6E
za79lCJ6n8/sOXRuPVcy0dWHhxmY0o6uMffL0tWEusBuJsep0vw36Y80MjjMLnfVSkd13FuLs5us
nEKw3hXhBEswqqW0Np2nO/SRI9J13EY3WBwshvmLsa/VtKWU/Xp0FZWt6Xi+GAQHMAjzcDU/zSJz
4jGll4Z9WnG+iPoaZ284GstFNbV7e0x3wteGgw0fk2jeyUd6P1fjldWNN6XkvfqLc6jT+pGUxeMy
NBfjAoRzWpbd6C5R6uNx1931Ys2CQ9/WGcKS2pecWSZDIzIK98gwukg0wS3xzxRV3sqitauvs9EI
DkrZfph6qtgOSXZtjE32lpq1i5MRo0blCJtLCd5p1a9nFmzamzJHtB084Di50wyRN2fOnecu66Zc
OwJjBowYCWgEQURBqjG+Oosb4YN3GaW3zcNA/iJqdINwqB1mGheNZTlFVFXrZzMPriYFHNZRttrl
WSHOMqUXGyYeJBQszdhBGB63JNlaDMvzuVvAHCUEEcQQgGRcCe8VtqazyYCwbAkF3AlWNOHq+0UC
9Uqfl9ElKOIfuP+usO+7V7bHzCux2SkOz4Grbeq5bndWazivmrgxrabbl+Z6dPHO1ic1g+SnO/v0
Z/XBFVc7UON2ehSDus5M70057msXqLu0HM7zsjyAwrvxxvlABpYUyThOfD1JHZacYKAec+BbCUjH
XZVYt9nSy5BZ7nbUzGsTqm1QV8+CcUC09uaw7yevDnPU9jbTP+EUgDyYcyQ5BWpddzDOk0bW/lHX
CiVwlLj8VQM7qK2uOG7igIVeRAsJVSy9daH1tGB5qlz3zdy8mR7056ykCDfBmaYV5kPhr+9egNJd
B7V301cTmmzST9um7Al9UubdDpx0gHN9qbU1JkZ3pTR/h8Bl7jMlH9M6fa087V1CKcblqdZDU9g3
5GOqcDylU11hXzJ8eJqMioUC1u5+aIKzueWh6BesoCYQsFs/4J+gIo+x0/nTxvGbV8R+/5ydV4tT
SQWx8sDm1BCot9YqEjiHHjLdIjR/63SwpVyL9STLUnkGkL59EE116XkGDgpSP668NdvhpVj8aOzq
T3go1pghy4u0zS218Ge59V7K8raf/CdpLtZZoJXHoCajp6T3UBhwQwNpjpshC7IIg7Sl3yU+RJPH
ImVPYvFHhncMCu4tmB11CAosXbEmcTaEQ6Xb4F7LThvDPuEo8eZOiGodkKmI2OexS6u91bEzX4Ot
S3N7OxnbJVOUhvHkaVefE3hrulCW2OnDDkZ3K1QVI0WHsrBUxAy6Ce06N8KK07OBk+NdcHTY4tiP
GaVHuUVQJ9AuSvUV0wlvhKwTmO3FQeuk1Dnr1POk2cdSzG/EcHe5mRToG/qXsbWAb/s6pyP/xl/b
eBSkXrxmd3rIJJ4T+0v/Dt3oLJ2cG7uo9gzfjedGFvvEnzlBYFEf0e5xe3+elU4x42zfggFMHooe
+9BE3CSf2pg85y0GI+S8oGJmWK7emTvsuY2tQ6mDR1un2UeyH/YTx5V1tK9Xy2Z/lE6HhYlQl8Kw
mrCzNy0oLIlH4+JEqD6UY/9M0vcqEX5zpapBRd40XuD1y3meL4dUVJ8sSnx4lGCTaKd7ziwIxX0/
+1Gi17uxu+9VKVAIPGp+iHvcYKb/DK177xBC3pCgIXLQNiJqVj8gBt7ITUFkBZ206kIhKDJame6E
AQ7xGNNHBfNEaXeZ5+1I7u7MNgmTwXwGwsShzWcf9tTijlF1AXRd2sVWmlNCIqIBJ2a6w2PD0jet
zrXqGDIk5P7P4QCUcRNM/eOq4ek2d4bJ75o3r/+XVc7/ud5inAd/LVr+Ca398iJydJPv4LVnP5Nr
/2lW5i/803js/kFzOgokWiN8kxNb4k/jsfsHNjo8iFgCcKY5KKd/EoucP9AsGc5zWKSjQmdo/i/x
0v3DYpRNLNbGLBl4PPv/+85jRFtsitRsEGWGrAr54uQV+M7rki62aafaWDFDrGPOJc7GhDN9yOrM
u4dL9psyzY+Ojm+vFpzqPfAs4TxGt/34akQrGfNQBrN3F5le5X2LAJhVzbPuT3b83W90/Y/B83+w
Xl23eTMO//Wfv3upH5wW4AT1YsG0tDf7ytvAAHcjB2V0IyrL/c2w/5uz7fvRt4vj16T8iU9kmThl
f5B/QSjk40Dlxt432U0RasPjt7RCJw3jW3euNxlv2mjPL3qyciau+uZyXFP72E7ZeKz1xPzC0bCS
TI6CNawxohysUVkAJE8Ci2p8NjFFr/J8E1Qa549eVvZ9RoIzkl0/s5gsi7e3AG/HmKfdh9wYqyZs
l0C/NpOVSk2/VcmOYywPM99bztktWFsqfXWSEp5pJaFJkoPnQZ0Wv7F9/PQT/PC1nFTz766tZhXg
IA3BMdJj0pJqfvVatWizMq/Xu/8Hnj1AZi2s97hh/vrh8/h1GP/jTlYvPDT+N3Vn1hQ30uX9r9Lx
3IuQUvvFTMRbC1CmvGG3sX2jABtr33d9+vklSzclytDucrzDVEf7wuBKZSqXk+f8l3CH4fD3v77b
aTT3CEyghJ4DtaG6wYy/22k05wjQjZQskO7ngLn/3mkQ1jbYZKBi8xs2NRyJ8r4XR4OKDeJO0rRx
VBOGABH8C3WS+XRwTGmIiDoDRDmWy9xxykV207HCutqMjVsdI3qAE9SQtAT7ZCIejNGexS+xJg8X
JE2xeUpICowPKci2O/OQ3dJxPO6rzRQkxUkNnRuqJfLYv9yKA+iFUWPRY/s+2zuzMJ6M2MG0wTCU
djW2jU1R36uf2V12sYGYxIBXZ8eEtk+KFj+pWV/SpIwrDaeEDfg/6N5Vsq76+Mz34zPH7SnVYmSw
fLpfe1pENJ18g8Yfpj230bNCoyicQdQbJWrH87Qqm5O8K7+QdAyXue3pG2DGz70xOVY7bwzHaMBh
HAsoAiAZMCNMUabnEmJN46Ydgq8GKSQ30s+hFLpLHxjv0/17NBFlW8gsG0wDlPTc2YiKUsMIu+vH
DfJz3MkBnq51RXEgzrv9My/v0USUTRmc/QYcI7gUs5NhDK3QiU0xbvAF75eVURsSOHTH/fopHQRO
wb7hA8TJOS6NdufHeD81BVkCpd/EUxEqXOqnhMsi6gaLGlEw8DnIaEeLLgDV2FxFSuQ3iww6Wg5h
H1QPGqgxJ/HQuqtSkeUUr+/yCwHCP+Ty45kBJM4OKDOCdfpabbiTLgpTlj8I0A2uiZY1hGQejdFY
eonROAtRhu2IgjJuRzxAZn8C7Fclx1RLnLfw+uNoNfqvQzv13tcB3t0dQDF/gepUcFHa2iBNXHSq
MkneuT/8wEVOHv2g2KZ011smiZWeamRatuHFUJTqiR5WGR6rYBGQMFVrEGJai2TyYsxcmPIWaLRm
XYEJ+ZYjm+hKCVP4F4OfBohIj3r7cTIb6xtyxRm3oQLxUmEX/nVl6hFJcp9S2qIGMPlnGBHGLU3V
RoIUr6gaVBKgOm6qbRQgiWuY8FixkUYOHDvSt+gQNG8RDrMuEreh7oYnsPetLKI8PR5w+ugpUIWx
vqDe1rSMWSMKBJly67ToTeeiJWXzZ+Qb4xtfeE2/VmNH2ULVb79C9Y/JoScOklv4sRiQDhKj11Y4
k5BUCkNzncVg+5YWjuWYBlf9tqgni0sGpJdlXVHJDaMs+TF0hXvc65kk6gOjj0jRU6xbOJ5wzkYu
JclSS8f67YS+Fdmp1M6X1JobLELSKM+XkTLZH9Up7HAn7Eqhr5sRCx4yLF+LYurO1MhQk1WIQlxz
3OhReU7Nuq1J/aLsr+ed7sPyBvgH4KqI/nQD0xmXtd2j0+06vbscQsDK60xJyI3mSFe/U41QbOtG
VPEG2jBPmQawaxYmzjrKykArez0YCVzZAf4+tUmo1a+5ZZlXSWyMFp3Uw3OQSeTexkFvjrV+EOe1
LxElXRTxBtIoLBDezjXjUzsgs8x9N81fd4PwzBXq2p5AAk3hfOrQ3UXWIy9QuijsaFlYTnAy9k3j
Y3ZSodo9gBn3l+SFVJyllMx+7yICYh6Hroqecgwea+36SFNoGGR5ZxlFTXeZ2UbYnRHjJmegVdKM
W7bhIjo85IayRmvBPEktJj90Xp1XgpS22BajZ13F7eD86EYDHxVCyLql0pr5xw3TCCEQH/G3FSoW
pNX8ijQi6e5A9Vc46aDmPmlRvUDVE3SbmqI6tGptN1rW5ClyCMCoiNth8bbAlzE9NjQyloukV0bK
vsFEESAeesVcVzUARZs49w4y+0sgmZ/SUnfIq0/SXF/gJROulEEkwumGMBVwFaD+Dw6sR/o7b6R/
yU/Ud/Z+1X38Zx9JPAsRIDaDtvZQiMcgkJNxPegULnkyMry7aRpHBvGLo3LNtLhWorf0V/QHwxXH
aBeJTHkH5V5zgDIu3hKIcvEdEP1I0gJQljHHg7uA0uYjemBBuelhpbA36+z5JHfH7pnYZfcgvGuH
KBZ/Yxen97kldlxFJmBWSvzAG5UlJrZgJNPBeqaVG/723+HKXTNgixhowku4KbvdKbASlTWDcoMv
dnZuTC4Evj6woYx4flchQCfGHz4B9Tt3ijs2cApPxyayvSc+uu/hL8Whjx9mFmT4dehOVoC0fKEI
5QM6MOnHJsda5sEkfDamvm2FCIYO02kbcbjdLis2wNQ6TcuNabTT6yB33HdR4IF0OKyZWWfyRlPR
6s/KTWab3XHWpO5pUCnjM6pnu+HmXWekxDBrhVmpyRDxwXQkY5ZPQJTKDWXirdX0HzKaXJotUiXQ
Kv1n+rQbcN62xo1aEsnRx0LQdLc1x0e6MGrSZuOiBjysnD5CbY+wkJDDCTX9mSTLLhjttjVyLDI7
REgN5XG3NbLWjW7ncbPRsrqIV5ylXnQCFHUY3ydTSVRTJ3perIGeA3JP9EJFMkrpYAs+/SLlfJgt
EW5hJEMw0yOyn3cakiQncJS3m7pBJYcIEheJY3ugNrasGk+ncgKaxX/r9F6aP0P32NM0U1SmZCDt
kEObjUBuadi3tna5Saj8MdCWd2IPA/n/ogR+42lldOYoRn0H8/xpGL5n72ErvVE8Iz8nnFmzE0JG
cc8QbxI85FEawb/vLA0mcf70wN7oBs9G1oJvQeKOJKBLB3dfMAiUIkbqptqYHgpARLgGHFQcm/Rx
bZTm+NbpbB/Dy4qCuj/6bDfo9ePyXvhp85xW994ug3wki4lsAfDP3UeJUR42OrRoN1kntYH8Plsq
3TCunu7xnla4GZIr5Qxhy52LFWC3I5AzjauNLvLtgMfmqalN3snTjWiPW8EBSe5wLB30AuZ7Qtza
AnHsutwMGF6c2UV91ZYUXizfSc/sTs+zJaWp3CamxPsk81uqIYKD4EyUXX2aVXWE6k5tW9sQY77n
OL6PZ7TLKeMKm6ww1kT2bJxzV9SNAm5mExV9fV4UCVhmReu5i+i4HazMNkoMriVcA55ZxXK73Z1r
aGJwapsWSWcQ7bO7MkJbqt1TON8YOfJhSzeaqlfFhElpQfEekkXCNdqwu2bVqKK5evqN7Os08F15
dwZfy16yO7kqBXNPSHkVcrmt/ZESqRWv1WHU0pMUwXCgQRq2aYsWQMj4zBJ7vIVie4UzNOccQi7Y
Cey2bHELdfySE3WMhuoNduGt9r6usrE+HvKw6haKG+Ml2Gf2eOkh5xSumQdudfF09/fMR6lnipcB
M58NVOw+BKvNGgizc6RxvfTMU6ilW1px50f4C5uWJGxruONB2nIQMtltBXBcZY1gGzdtOcQniijL
dz0Fz2dW8OPzVrZiaggHqGhEzqeRZK9nEde0DaEQCmtp5v4ArY8SkKqiDaRq6XP06L2Dh2qFqhJl
UWSZLRiYVmPVC5FvKr+HAlWhMBKECCw8/YoeH+x0i4CIPYlEGRNld/DSTjeRz+3yDeYo0hqTkrrw
yHxw21eeCTn3dkgG78iusj/JQP1hxFKpnqZHHNwbtTfbY6ftweol5Bz+RYeo02ALoJH8n78nzuwA
FxgLemZEpOeHkDdAWPTnfRXWx083tXdK8H4cRBVkEnX2hsoIfpDhMPFEAP15kXog27piAIKjjaYN
GL4Qz5Ak974thHY06jUEJvNzU/g5sbFr5hvche2vppBlEhgn56lr/5pFh4zBXNRxTQaQ9CJn4+xt
xX7tjJY6MjEgm67tYLBWgdVN/+Jtmdj9AK+mP0QCu3Oihs6tA6ItNtDm2z+jpLLOO2xsXvkl0KOn
39a+sbMErwrO8k0Cf7epTmkstL5oioSNugQ32K4BHJhkvbPg9KCm5sL/XBKnsrbUfOOSPcpXrdkU
fypBlcdLko7G1dON7VtWGAazrjhgEWuZnW9AkCZt0Px8A1BtwMPOtE6gWobPLN59cx2NIRIAOLZY
lGF2Rw8mlLDLMsoJyYvC26LSn5EqdUcQOlmBPhCpJsd/zshw3yujKoH2Ljl1KsyzzSlSe9Af9sQc
HNtiZfhucBoJTMFHESfPrOV9o0gsCgWHCA2Hydl07wRWYlHN9s7YTascRigpxaZ8ZrfdEw+gdUGx
nLVFyUU6Yz7cApu8cWmnZP02Sm9SCkEMB3T/9DozUu/Uq8wxO0uLSPOfaZcFxTfPoiCDCYIdJ2Qh
iPOzhWbFk2pM3O5Ox2AUPleqIvnM63Muyr4bLh297sy13o+OsRIJBLdFDWPEW5dZVH6DYQqrdsxs
0PeKEqGlb2tw35etPqTIGqrq+zzVYgD1fVKeOAGhHwBPBGWWYMP16y4LasFyC4CcwlUOy5USkV3E
2LcLxCsjSX17Vaqhrq0ywI3jqnKr/Lrwiq5ZwnQ0X2MOBmRKsKN+D+3KyhdOXUuHuB4DND9DoOfY
GtMyW9mhC3QaNFbjL+IyGsp1mKso++VDPyrLhCjoe5gDcl80o97/MPPOIIOoVro0aW8QlMF0HV6h
pXfiS1gOwVlVlOkFyEntrY38CLzSiuTzwrBiczNhjYhUUJovDURaf7i+w5W4R7HxrAvskPt3x5bJ
dA1dwIlWXWLggJQj0O1A868Kki65zB6BtBtIRMTrqahqFP4SB/x3gQnaJwG0H6AjEaJ/jLsbFzEx
JEUOoBeyBFAsFtoyGhrSrdqQwuvJE3286kSdvIHzqUL+reGtACwW2ms9COI3VuKL10bd5z8aREhQ
LoV/qy/wzXPHrQAgB0axrtMvuWv1yoLzDggeqOT2ld4E7CONgG9FPwpwWUMYMaSBqmXvpxIxntMy
yLC59wcYNpsoswzn9ehIDBb+Da69RqhV+4Fca/gVyROLe8VUuCdt2tpQa1PC/U6L62wZuUN51Q1Z
+SFT7BiQKJIuV1mfARR2nXhUAMwOk7XB1BrwrA55oEAaerBA1amKP26gd3lf/WZKIt6nbteoBgTx
hVfY2Y8B6EnHbtH2w9JXOpikk+gmZ231uGLj91ANF9NQQtiptNrqlrHdhR+bdBq/hc2QT6uCczFH
TUI1P9hJgXSmqKLgJAmETqTUhOm70Rh7VL78sXw1UgbJJJasLVfDmCBtWcHG+IRRBVBtFe5DAGC/
03AC9DEugavs0o28tcpyORHcjjCg0axdJfgHZmsjj8l1l4z46wldhALBLK+Cy1ugXKVbFexStwSQ
hm8iCOOFVgc65O0JVjescoH/KbRilO4nRVQpypF+8F5a97Vvpiz3UmpS2NkvGpNk3ybxsxhKVV3l
3MB8p3hr+hOumqbX4KEeoDoLxWAqg++FZfBVYDfoDPRbxgZFmxwjyLZM1zDb4ZCga6x5y9DIUn3R
6GpUrjxAtYyyjaqKqphTfGYpUWAej9akBUuyYuJ9PwaJuZoCVLmw+WtyKBHN+LbBPRpOSe/X1VLv
G7sCOZg5bymSoO1h2cgmcG8awaZrLdUYHEZrzFGMVqm7BXIDTN7Ct9DxchLgo0vbxhdjg6dtYAJ1
Nzk8SstqTm3HC5Nlorbo++IsHRUnDcycYFn5E1jRnnL1ogrLsVjjrlpHS/DX0JF6C2spXa/Ut75m
UJDXtbB80zowKAA7NkiSx0r5LW+iCCJWVg3fDbhS79TCxw8jVKeUPg7q9K3ECjU6hdzibITeeek6
gD6GoQVGK7AQhmJc2xHWjLk3TRd+6yfiTB+Fp5/YTRBdIwaLW5nf5Z25dGLds1ZKMNgXgzb0sNFh
YgCKJHHGuheQ8uDhIbkgou5PYJjlezjP5fcKmvkVIkjBZ9HkNbq+bgBSu7bBci9MDRLQqhdq/yMf
IrtahaFqfpMOuV+iWNa28PkwxTJuRIdQN7IcGwAyNcjbyneCs95LxuvM88DaG7rZa4vcGDRo9WGL
PXjYqcUFQhTNe2R6mChxPU3blL3hAtlsL8Uas8/SddQ6ETDcLgmlEHgavsPUsnxvlDDJer3KxXIw
i/QM83FIRwiAl+ilihZ4dYIG2lJHFx88KMIZVKqiSlxpyTTw12XEyAbwIkEHR6wyvB0h7y96gMq4
Z3KQACDybb1fo+XhuMteb1k8vrC6YkUqrD3zxsj5lvZTdxqqeC9C+mniYDUWTf4dgb/U2CC/jIVL
Y+UcPTk4p7dmTC5irSc9nE4/jLXvURfEn2xjRJ/eZ0ZvuCm0HFZTWoN2Fx1nnVuGSrv0Xc80VyHF
6xq/HHSdmYWm/9VrbVtfac6gw9oE23yakNI/rTjtr8Le6T51epr7JzkzXbr16gI/nCiHDwaEPHbW
fmEPnyMG9b2Xa9mZwxmAdC5SAupaQUEgXwd4er1psz68CFUxUFevRPaZhQBxzRgowa8NURvlos9T
7wvmtFDRkwY7VmfquL2F5gAt5umQdn+wAkQQKSmuVfPkRRSZfiYyV3K54KLhMr8IfQGRn9I2G2O9
jA0/fiZkfxTfGgBTSBFx60EIyqRUtBOZhXgNpWpmZRs7VdR3VvSmQAhYnZoVxD6xfrp7j3Izsi0U
CLkLW+Bh5qpQnSEK9H2J2J0pIAkUO6n+Chibk+BaVOmQKysCTzP2rpG+cTY4t/a318hfKlT+XytB
koQX3NssNMYsR5OClATPP0ed3VuA7KPpP/6eu/qj7hwBJAXzBw//AcxVp/gI5oxEDKG7/NFfxUdF
HJEK4h9QqODBwDf9VXxUzCNKIXD6odbjpqFJ7d1fgJ7tzk+c1UwdaAxqALpm8Cy6vCo9KPfkZeDD
LE6Ns3HMxx8R3IYr1U+N70rrW1vFBKW4eDBce4pljxrE8k9eFUChaTz/PP0UciHpw9w2z+LaGj4G
oSpVrHNllWBqvCah+msXMPl2SQ9zs0RqCrAwkL7dDrYqEuUQRtyzBuDJBwxGiq9dwb3j6V7tXvNu
WyEBQKewPQK4KH/+YBhrV+2wDVHcM6JzSmZTbh1PodU8k6bZ34p0/pMCrc5ckq5GFzwIU4e+DGjm
d0XgQ+ZAN+rpvuzejm/6QrFctfmg/Uzyc7cvmRgrSL+De5YTkWrrcLLiE+RB9X4lCvyPn25sVi++
bQ2JPe6PFP+pO85aswyS9bXuudAcCzAsUTBKhIffvtEaTVwR5lYLvJnbs8jLEfNX4hjL8CwdOVv1
ofj89MPM5qacK0AEpKoeNSSEcGebdaEQdqBL5Z2ZRglBL6mhmJvBGhbjZ8Tpn0PA7WtNYFVL0oME
KeWb3XEeOqVNPH/yzqR6yNehAHrixoWyacpS+JQskDb41e4RH6k63pQaiUzQC7sNqm2rukpZBFs9
HcpViT/1GqUDUve20hRcMmJN2zzd4uMJS9GI7I7LyuDP+YCGiW82fePl27DvzGsvDpR3FRCxD7/a
ilxylKypgBn4IrGPPlx8ia1mWkVItU09XXwkwVBe9KMonznJH/dFtgJkkY3k5nzdbSXDZcXCiaPc
ur6VU+Wyw1WBjsfy6b7shihyOVAyRCtFlqjJnM+VhMskTbLeatqtm032W5w3Yd9TOn+lRy1gKQuT
iaTQnjM0lvP67yTObaOcJtIp1WEJ2LNDAH0iW0djvN2K1Jk+SANMaN86klDQElZhMsTvXG5Um1iJ
+2em5OO9Rso+/t2yXCMP9s3EgFrcIqG0Dew6PcbhD6Zi1RJWj9lzvsJSb2feSy6uZKDJN6Jmacza
wrPHBFYj2u3Q1cEmDuAnGxYlwtaJccfx7BaZKuSRas8+wXmz0xZeUPffqTCVq7oIxCmZgPQaE8MM
opISrCGJpb8+GjIxjZAoAGNm9GyB8gaKqRogWoL7NjfFpGCwGTrZekhQY/jleYZrMzlQAh8m9Dwv
GRZKqTdGMGy5hiYn3GYtgm9uX9pQYXfo5YgblIH+zBLaM7kNmeSF7aM6FJRn+yvy0zCFlWnYSq+a
V36Q1cdxYXTbMHHLd/aUVleREyknT/d033sHrC+R6LJiCgtgd47VFgQecuTdNlXz8XSY+kpZDOyD
Cdczc/wI9RzBvby/zlu47KlaxMvJh0KS+BYupWCGV3Up0GBPu04s1Ezp33Um8sKrp59yz0KgeEA2
WpiY6BDg7T6kmYddXTR+v+1Mrz0ebGQDSkTbFmQShmc25Zv9cLbc4SxQlQPFBvHAnA1I5wZBNJCt
3AaDX6NdzI3sRxS0boQ1SIbJqI7Z5WVGL6eFHZChwVSzxoG7MdJxMXWl6uKBEvnmvxgBYbI2kbYB
0j8fgaLVIW/YTH4cx1WUlpBDbXByd9W0em5GyALafACY9JYgeOY/azYAVtWrBQZpw9bDQpaMKEac
m7YZ2nXUdfZnuOvDZx1+krZAXAn5obBBqapD5BpsbWk8I/Kv7VkUlFmkOjgcRVgg8ucPtkDVMxwE
a1iJZIRiiLiuC5/fCtzXpkjNLXtARn4wGxA+yIfwcwQyK1AdoNk+C9VtKQ26Qno9+Tl0VaFYJyUw
42oRluCXn4vV5EE6HzfIATrquBxQbNy7j9qieGwhZDBswTQ11rIbqCkszaIlaVQmdG+Bm1oaLxCW
sr9MqE+hJ64kfbgYU4FhmjXwZKt26tvTp9fOnhhS1ugpKUpaoBBzO4bQtHOXOtywbdO8Wqb5FPmr
wnPsVYoy1UaLJsQgXBxmSl/9oU5ager6VK/RzkCH5ulH2XPGIDYPugpZZja5+STOGrLJOBIN27At
NkaXDG/wQvWWSFEap7g8PyOtvnclA2WT9AZODawidl8I+pIG5ZNo3FbkRDe2SKwPnVW0l0hzRq/q
dJT0jUIcG6P/xlFTXInTvN4WwqvOFDVt/3y67/qeZQXkykbBmdssgfTsabwQ1GMVZOOWC22KoVZs
Ih/ljIshUop3CvppS7sYMBhUumylqUXwIc5rsuHmoIMfwvRvyER7HBiJ8Za0aP22KnV37VZJ/A31
1GALPdtbYyE5rG0zT1ZeMjqvMifOX/taAgkAofYPjkiukYSsT/wE/yNRWZdZPuFylhXPRUyPg0FS
LUA2NCI1EG3zHcTBkkYgYTtuXV73cVvp9aJBIfSZjWo3oXMTl+ENI/dENgf4MrP1phcdHMEgHLdj
ngVvFCGq4xKTJnRdcYimFjai+GuW5+T2KzQDwvbi6Re67+SUySuwyehykx+Y7ZOprY9uwVm4HXEp
OJl6x18LNVCotznA3XOv/aD7bvzRZ1tfOiY8TcdXikWA2/NxCBhtZUNpJbtmIgtEZWXtVM+6ltxc
kmZbktyNgKdxuJPBkUP4YPesyoaCXzeO215xC2CqiKh0QT+8Rar0nGmIol6RZ2s7R5fYsGuMurlk
fiyZc686cnZY3tjPIaC5Uj3eJqXLAy+NojbQgNnFTug6fm+mMm7tKRuvsQlUUECOi1XmC3FVRHZ5
0nsZPqlj/QlZ7gqCS1O0kB40rZjOgnpEVqlJA2NTNVNXLQIy5v56DELwH3o12diZGOIktRvyyHgC
Du9gMXvJ2jNKjV9GH/ETF4TmYxmYHAPIQot0qyefu6r0P6W6L5WRg5KCh6Ni+ra0kI8tkLkLtATC
PvXN1aAH4I5MZciz08AQ5VXdkjZGkyuDgFGjaI+UGDwMcxEiRoeWl9pk75LGLpRFlPXt17SeUBsh
NlZjrg9M22VVBKpkk2QavrFodfgrYJHOj0KfMFaLrZJ4vLU9lDAgXSFjCInllRsq2hdXqKgGkoD2
LiPEal6bsdCwQarU8IMfNVG9zjs9fmXjxSjWYJGiDQV9NC1ML7CgdhCmfA2hdmyj2gzC4zixbMS9
vQosoF2k113VQ1xiQVGcqMzmTWUjg4IgZfkNeFv9uc1jNV+DS0AgxsgcDq946oyv0aQPOG5omdug
oJXZl9YgUHgNJ6/9Ovk6Xp0YhRdfJ6fu3kSdFnSvs8DDWwMXF/u6wl0e4euhDS/LUemNVaAM0YWS
Y2mDy0ooygVSreG46CJcNGAc9cG5SP32m5WM6QX8IRIhVW/bXxI1wdnIRFFcrBAHg/YcU/9A5wQp
HnPloByIkpKfNVgT5FUSvU4NpJGWeakj6Yv5XL2J0l4vEcNt2WdJmPmUNmyUbuEZJp/NZjDwSc9G
5RxVOhRrdKs/RjwJyUDHpsgNdxuHw8pzEIvvzTz6UEVGiIalhYr9skO97UOO/QjuO6aLULI+atRA
i6LSFnY35Pox6UAEVorR8LYkzABWs36qcz9O9W5FhVD50NRRjqeibQZfoBQxigVK3BSU+FeIFerR
Moy7hgJX2hbfRvbMcFmXdnuu4SqCB3hUCLHMHJTsV4DS2mtKrl23aqskrNfZODjqse7F/Q9Amnl5
apHXald4F+IoUBTpWCySAILXSpRJieSe3WbXFn57CJgR7pN0IsyJl+j6ChwwsxKyVm74zplX+ixU
X6B3ZAYG6I5OJGh2QumqIZf1RODHMckJfznlRnGl9XEer5u+db5QCU4/Nd6oYTHgWBglVoVVQCdD
k/e1KyiTLzuzdM9x/EWovAus6gvXVhfFI4SnFgm2U99t/sJHMVQvvztxgzJwUfrsAGUYolmdxjHq
nE6kw8IajeQs7CscvpAFYYkw5cKNwzM3axiX3lWBjNj43nI7/XPcpla1ENgHfu25U40LEtfGiejT
/KsRRVbxOk8oVi8d1N5hSFptgHxj21DQKaoER0vKajU+j2PlR6tYS4MPYx1G2ApEJsLi+hQXr7uE
La3WWnXtiSZC+gZjIAQ2m2A15LKsq3ll3C2NwAo/p06YF6sQGPx3F42aH2pVpZosEsKPUbCB0lbY
yGbYMoyKhoi1W2rqogzG+JMbGn6H2rE1ojw69Bpa25Vj4bgzhFW6DEu057R2ILk3jQVALdf1J+s4
Rj+vXYKEi/yTUHEdVFh6wUboNOOrvHeDjebiOLJse6QRF06jxp+UNECUKe7bV2i2l6BQvKSMPvcl
epEjUrgYqNZwONGkdtu636QcPP4GfRKoMaoVhPFpGw3Cf2NiAB2v+wCmNFEc/vHoPOk2ZEEUmr/h
KuWPS6WL8xJjxhLZqSymzn6sgCGqF0Pvlp+LUilAAJd+zz11MtKtYRcoexmT51+VNcgjXkfcnyFk
hXeTEpTVBSJA5jZpA8f8EDZJ027sXOtNip2OeMNsq/K15TaRe4b3cPOnVRsMlDP4+gdjrPRXYR9q
nyskPFXUOCFsslGl6P+jJuR+Ydug+ii6EXOBISZ4IOQPkSd3UyOv0TXNqvMOPuZXrNvaZDXy+Bug
V5g4G1ZeF7i6TJ0NSlR0V4XnB9xheMk8MwHtJ9OIrVfUma1o4019E64pNk7fKSbYiMtglsupr/a4
piaZmX6rEs+6yPAtGRdBMyEMOzEOlEUTXHiQv56UP8Hn8NeiSbF6HvHUtp+7Ke2LDxEVQJeeLQ0p
kVkorJRTokcEaFvHbtXt6GiEoW1dIj/YKBNb7uiHiboMxzh/i09di0xnMgR/KibK5pu410JzZeZx
VS/w2iEbJijlv3s6tttzUSFCAZTGI6KxOL8yuVBf7AAdkK3vGhw6YAs6DoLATtYoYvqvB31ggj3d
5N4xQZSaPIygADQnlyOKSiRkNuN2qh39TBkS63yiVL19upV9dyICLyCfwFgpKcyTaE1I3zLoClvw
T32z6vI6eJUGDczitAgde+mx3WF5a5fifVYWxg90L60fMCdy/7gKFayRu1aAfvkXTwVED/gwlwXw
PbMJ0WSguexBjFuk6L331OP8EwKI4V0YiVVOnPoWuWptnaRTg3tz6jc43eUfHSx7V4luVFc3T/Mi
6rR3DyG5m2DtwmZ8315X4/l13SZNfV+olD+9kaf5SKb83/zS01/0x/XNl34ci+v/+s/l9xSHiLBu
qvBbs6MTwg0VzD3R+U659+a5bh76qa9JLnns9jvfj546WXuciyTO+Pbznz+SPPPvfq6pAlF1asN4
3N//mAYfjNPPRuLpTt4O6dO/s9ODb3mbYQV1fu2HebYzEDKh8k/GYPYND8YAHXqSdpi0ggC9/bD6
Hw6CZkCaRVTCFFJRhc/DGfvUdHi6g788CE/NBhVWBFfcfzISs6/5eySMIx1dEq7KsnYvP6TzHoyD
a0tLXRi4knsnP7ez7///ZJh14HbBbL7/139A5JNF47g4aBgUG8QDFB12+tt+qkyxB+OgaXgLkyO7
Je/8ryyHn47AnVAZL+6wIXCOyIRJtvXdjJc7zc4QSCQH/93wl17YENxKKEmtmcPGACE3coEQWe62
vtly0FTrCJaGaVIbvmnqhS0EQpVDR0A7gmkrcVksq5vPbCGo+hGIGBvg0e2ae2EjAFjn0BGwjiTL
jHjsdkOksL27DlT7yKIcKwmFL3EOqLIcftgqoIMQJqlf3U0BSSXc2QnEEdcEA8zeizsO2AylvhYp
zsOGAJ01qhT4lJp3s2C2DDT7CDiYRkL99mB8cVNBguSIaQ4bBZXdThAK3gcHjMVsJmhHkgVKvvLF
DYBNqRSC4KFDoBMHgmCDRX43EWa7gXCPACYguHen/vei9kOpzsfaPWwSiKObhYD63t1nvhuY6JhK
ICHEqpvPTYMvaBxu9wSJozhoIFS2BEhxHI73AzEPkKwjzgQ0FiXrjKZe0hDcBUi/YTIgdi+lGDlk
Hh4JBEaSdA4++DaAfnHbgXansnloeKAeUbZHAgqp3bvP7OYoEG8ieBL81oubBbeH4+1z3eoK/HWV
/ZUMgiNFqNAyYHN9OAcEYwPMl/Dwbq98af3nHKMyzAVGnmjICVAROHBPUOT5x7QnSLybDQzuwzHR
NdYF6UNXaoq+rD2Bej0oXtx5LVD1rA7+P3Q0rCNWP+Iu1JhvP7MdUneP0KYmn3AfVr20MSEDy5l5
8C7JHQmyA8tgflS6R5CeJXb8hQbO0i79oEOSBcGtQOIvZ6+ezYESPfg9yQ15WQvh5qWjiHxYz9n8
TMR1/s6qys3l4VYgDPYKSCS8/Zc2AncR0sG7oQpBSEB9dO53Q5kvfDgGKqOEejWs/9to8sUdkXIu
IO9/4FwQZMoEtw80j24/u5cGV26DUkby/ob9C8PwD4LKv8oWyyBMvt8ULMLrel9d42e/cJ/Efvzz
uwy9zLySH/+LyXXzi7J+cdv23/WM/95JW96ExA9+eB8iP/zndx183PTeh7r/y9PwurqsvgX4RMn6
zN1jvrlMqXjcKK+fXSZhepk1l7ulhNtb8t+P9Kj+8tdu+FQLj9h1ZIcktOvQ7703rLitgfyR//jj
S+6Pj70qKASgRchaO7TBW8XSD2162VSX9193m2a/WxeHtvAhb9FE/WkLv7EPj5X2/9rof1cnftKE
DCAObeL1ZdLG7f333L6Cu4TGoV+9vUyLNvNn3034R9bs0O++fb37FxsZmdt8xKGNrC+xUnh12c1m
qCwEEVwc+u33lNn9DXBGHtrAzX60/9t/w57x6jK9Cu8f8r5CdlMYOPS5/9+36+DhF99EDTclyEO/
+WbWSPLxfoMMeW2lLnXf9t46+T/ap29Gfs/e83f8c2hP7ifP/hVw1w7poUPbuVkCTzZCyHFoI/ed
2etacpNLkPeFQ1u5eSlv2vryj4/Xme9f7h48t0P2O7ammyF7rh0isUP7cx5e7uzb9EDiNn7DmbBg
fOI22fftv+HcvA82ftUd6+fYlX+0JhcEZveDfhNW3g7Xb1gj8kX8scHGMPte77Rwlwr8XVv53uVx
18Zv6MZJjls4dmX5vj78hlV+G/M9jjceZEwPXRI3S/xRkHzXgCQdHdrAgsj+ejeyv30Bskb7G77c
jy+VxXUCRCrzn5hSUtn10NZ+3TTgwAV4c/j20p3q0RvamzA9tIP3p8rj1sClPZI2ObS109AP5A6w
p3NAOjEzkDRG3LLQLJDFwkObu41/93Xtca716bb23YP/qik9vh3fI8v2/bPdq7/8jW/J9WX13/8D
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425823</xdr:colOff>
      <xdr:row>21</xdr:row>
      <xdr:rowOff>40340</xdr:rowOff>
    </xdr:from>
    <xdr:to>
      <xdr:col>9</xdr:col>
      <xdr:colOff>593912</xdr:colOff>
      <xdr:row>42</xdr:row>
      <xdr:rowOff>134470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EFE37459-7E27-3A98-B8FF-51B6482B08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687183" y="3880820"/>
              <a:ext cx="12824909" cy="39346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773205</xdr:colOff>
      <xdr:row>67</xdr:row>
      <xdr:rowOff>174811</xdr:rowOff>
    </xdr:from>
    <xdr:to>
      <xdr:col>7</xdr:col>
      <xdr:colOff>963706</xdr:colOff>
      <xdr:row>93</xdr:row>
      <xdr:rowOff>78442</xdr:rowOff>
    </xdr:to>
    <xdr:graphicFrame macro="">
      <xdr:nvGraphicFramePr>
        <xdr:cNvPr id="6" name="Chart 5">
          <a:extLst>
            <a:ext uri="{FF2B5EF4-FFF2-40B4-BE49-F238E27FC236}">
              <a16:creationId xmlns:a16="http://schemas.microsoft.com/office/drawing/2014/main" id="{F0C75B32-DCE1-4DC5-6F72-C4E27B3D1D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280146</xdr:colOff>
      <xdr:row>1</xdr:row>
      <xdr:rowOff>62752</xdr:rowOff>
    </xdr:from>
    <xdr:to>
      <xdr:col>8</xdr:col>
      <xdr:colOff>907676</xdr:colOff>
      <xdr:row>17</xdr:row>
      <xdr:rowOff>22412</xdr:rowOff>
    </xdr:to>
    <xdr:graphicFrame macro="">
      <xdr:nvGraphicFramePr>
        <xdr:cNvPr id="9" name="Chart 8">
          <a:extLst>
            <a:ext uri="{FF2B5EF4-FFF2-40B4-BE49-F238E27FC236}">
              <a16:creationId xmlns:a16="http://schemas.microsoft.com/office/drawing/2014/main" id="{3C5A7265-AA6A-CA15-710D-1441235AD9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250784</xdr:colOff>
      <xdr:row>104</xdr:row>
      <xdr:rowOff>60766</xdr:rowOff>
    </xdr:from>
    <xdr:to>
      <xdr:col>7</xdr:col>
      <xdr:colOff>520861</xdr:colOff>
      <xdr:row>120</xdr:row>
      <xdr:rowOff>135038</xdr:rowOff>
    </xdr:to>
    <xdr:graphicFrame macro="">
      <xdr:nvGraphicFramePr>
        <xdr:cNvPr id="10" name="Chart 9">
          <a:extLst>
            <a:ext uri="{FF2B5EF4-FFF2-40B4-BE49-F238E27FC236}">
              <a16:creationId xmlns:a16="http://schemas.microsoft.com/office/drawing/2014/main" id="{608D1DE4-3A49-9697-615F-EE572729C0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993320</xdr:colOff>
      <xdr:row>47</xdr:row>
      <xdr:rowOff>118381</xdr:rowOff>
    </xdr:from>
    <xdr:to>
      <xdr:col>7</xdr:col>
      <xdr:colOff>1170213</xdr:colOff>
      <xdr:row>66</xdr:row>
      <xdr:rowOff>-1</xdr:rowOff>
    </xdr:to>
    <xdr:graphicFrame macro="">
      <xdr:nvGraphicFramePr>
        <xdr:cNvPr id="12" name="Chart 11">
          <a:extLst>
            <a:ext uri="{FF2B5EF4-FFF2-40B4-BE49-F238E27FC236}">
              <a16:creationId xmlns:a16="http://schemas.microsoft.com/office/drawing/2014/main" id="{92C70159-36AB-FFEC-7D9F-BDCB14E37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847453</xdr:colOff>
      <xdr:row>136</xdr:row>
      <xdr:rowOff>4080</xdr:rowOff>
    </xdr:from>
    <xdr:to>
      <xdr:col>8</xdr:col>
      <xdr:colOff>655862</xdr:colOff>
      <xdr:row>158</xdr:row>
      <xdr:rowOff>97972</xdr:rowOff>
    </xdr:to>
    <xdr:graphicFrame macro="">
      <xdr:nvGraphicFramePr>
        <xdr:cNvPr id="13" name="Chart 12">
          <a:extLst>
            <a:ext uri="{FF2B5EF4-FFF2-40B4-BE49-F238E27FC236}">
              <a16:creationId xmlns:a16="http://schemas.microsoft.com/office/drawing/2014/main" id="{199BF7CB-2B60-CC6A-B069-8DBA6711A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105591</xdr:colOff>
      <xdr:row>1</xdr:row>
      <xdr:rowOff>41367</xdr:rowOff>
    </xdr:from>
    <xdr:to>
      <xdr:col>2</xdr:col>
      <xdr:colOff>1934391</xdr:colOff>
      <xdr:row>14</xdr:row>
      <xdr:rowOff>102599</xdr:rowOff>
    </xdr:to>
    <mc:AlternateContent xmlns:mc="http://schemas.openxmlformats.org/markup-compatibility/2006">
      <mc:Choice xmlns:a14="http://schemas.microsoft.com/office/drawing/2010/main" Requires="a14">
        <xdr:graphicFrame macro="">
          <xdr:nvGraphicFramePr>
            <xdr:cNvPr id="4" name="Status">
              <a:extLst>
                <a:ext uri="{FF2B5EF4-FFF2-40B4-BE49-F238E27FC236}">
                  <a16:creationId xmlns:a16="http://schemas.microsoft.com/office/drawing/2014/main" id="{F53F2ABE-6BDF-894F-D60A-3F080BBD48D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2598420" y="226424"/>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76.631209490741" createdVersion="8" refreshedVersion="8" minRefreshableVersion="3" recordCount="30" xr:uid="{BE3B359D-CABA-42C6-B344-36A4B9C34BB1}">
  <cacheSource type="worksheet">
    <worksheetSource ref="A1:L31" sheet="Data_Mentah"/>
  </cacheSource>
  <cacheFields count="12">
    <cacheField name="No" numFmtId="0">
      <sharedItems containsSemiMixedTypes="0" containsString="0" containsNumber="1" containsInteger="1" minValue="1" maxValue="30" count="30">
        <n v="1"/>
        <n v="2"/>
        <n v="3"/>
        <n v="4"/>
        <n v="5"/>
        <n v="6"/>
        <n v="7"/>
        <n v="8"/>
        <n v="9"/>
        <n v="10"/>
        <n v="11"/>
        <n v="12"/>
        <n v="13"/>
        <n v="14"/>
        <n v="15"/>
        <n v="16"/>
        <n v="17"/>
        <n v="18"/>
        <n v="19"/>
        <n v="20"/>
        <n v="21"/>
        <n v="22"/>
        <n v="23"/>
        <n v="24"/>
        <n v="25"/>
        <n v="26"/>
        <n v="27"/>
        <n v="28"/>
        <n v="29"/>
        <n v="30"/>
      </sharedItems>
    </cacheField>
    <cacheField name="ID Prov" numFmtId="0">
      <sharedItems containsSemiMixedTypes="0" containsString="0" containsNumber="1" containsInteger="1" minValue="11" maxValue="96" count="23">
        <n v="33"/>
        <n v="63"/>
        <n v="51"/>
        <n v="12"/>
        <n v="32"/>
        <n v="15"/>
        <n v="61"/>
        <n v="13"/>
        <n v="17"/>
        <n v="11"/>
        <n v="19"/>
        <n v="35"/>
        <n v="81"/>
        <n v="73"/>
        <n v="36"/>
        <n v="72"/>
        <n v="52"/>
        <n v="82"/>
        <n v="71"/>
        <n v="64"/>
        <n v="93"/>
        <n v="53"/>
        <n v="96"/>
      </sharedItems>
    </cacheField>
    <cacheField name="Provinsi" numFmtId="0">
      <sharedItems count="23">
        <s v="Jawa Tengah"/>
        <s v="Kalimantan Selatan"/>
        <s v="Bali"/>
        <s v="Sumatera Utara"/>
        <s v="Jawa Barat"/>
        <s v="Jambi"/>
        <s v="Kalimantan Barat"/>
        <s v="Sumatera Barat"/>
        <s v="Bengkulu"/>
        <s v="Aceh"/>
        <s v="Kepulauan Bangka Belitung"/>
        <s v="Jawa Timur"/>
        <s v="Maluku"/>
        <s v="Sulawesi Selatan"/>
        <s v="Banten"/>
        <s v="Sulawesi Tengah"/>
        <s v="Nusa Tenggara Barat"/>
        <s v="Maluku Utara"/>
        <s v="Sulawesi Utara"/>
        <s v="Kalimantan Timur"/>
        <s v="Papua Selatan"/>
        <s v="Nusa Tenggara Timur"/>
        <s v="Papua Barat Daya"/>
      </sharedItems>
    </cacheField>
    <cacheField name="ID KAB" numFmtId="0">
      <sharedItems containsSemiMixedTypes="0" containsString="0" containsNumber="1" containsInteger="1" minValue="1115" maxValue="9603" count="30">
        <n v="3313"/>
        <n v="6310"/>
        <n v="3307"/>
        <n v="5102"/>
        <n v="1212"/>
        <n v="3205"/>
        <n v="1509"/>
        <n v="6112"/>
        <n v="1306"/>
        <n v="6309"/>
        <n v="1701"/>
        <n v="3324"/>
        <n v="6303"/>
        <n v="3217"/>
        <n v="5105"/>
        <n v="1115"/>
        <n v="1906"/>
        <n v="3516"/>
        <n v="8104"/>
        <n v="7311"/>
        <n v="3604"/>
        <n v="7206"/>
        <n v="5203"/>
        <n v="3202"/>
        <n v="8201"/>
        <n v="7102"/>
        <n v="6402"/>
        <n v="9301"/>
        <n v="5309"/>
        <n v="9603"/>
      </sharedItems>
    </cacheField>
    <cacheField name="Kabupaten" numFmtId="0">
      <sharedItems count="30">
        <s v="Karanganyar"/>
        <s v="Tanah Bumbu"/>
        <s v="Wonosobo"/>
        <s v="Tabanan"/>
        <s v="Toba"/>
        <s v="Garut"/>
        <s v="Tebo"/>
        <s v="Kubu Raya"/>
        <s v="Agam"/>
        <s v="Tabalong"/>
        <s v="Bengkulu Selatan"/>
        <s v="Kendal"/>
        <s v="Banjar"/>
        <s v="Bandung Barat"/>
        <s v="Klungkung"/>
        <s v="Nagan Raya"/>
        <s v="Belitung Timur"/>
        <s v="Mojokerto"/>
        <s v="Buru"/>
        <s v="Barru"/>
        <s v="Serang"/>
        <s v="Morowali"/>
        <s v="Lombok Timur"/>
        <s v="Sukabumi"/>
        <s v="Halmahera Barat"/>
        <s v="Minahasa"/>
        <s v="Kutai Kartanegara"/>
        <s v="Merauke"/>
        <s v="Ngada"/>
        <s v="Raja Ampat"/>
      </sharedItems>
    </cacheField>
    <cacheField name="Nama Kawasan" numFmtId="0">
      <sharedItems count="30">
        <s v="Kawasan Perdesaan Agrowisata Ngargoyoso"/>
        <s v="Kawasan Perdesaan Agropolitan Tanah Bumbu"/>
        <s v="Kawasan Perdesaan Margomarem"/>
        <s v="Kawasan Perdesaan Shiny Tabanan Yang Alami, Berbudaya, Dan Berkedaulatan Pangan"/>
        <s v="Kawasan Perdesaan Ajibata"/>
        <s v="Kawasan Perdesaan Industri Bambu Kreatif Selaawi"/>
        <s v="Kawasan Perdesaan Mina-agro-wisata"/>
        <s v="Kawasan Perdesaan Pertanian Terpadu Sungai Kakap"/>
        <s v="Kawasan Perdesaan Agribisnis Pamako"/>
        <s v="Kawasan Perdesaan Agrowisata Hortikultura"/>
        <s v="Kawasan Food Estate Berbasis Korporasi Petani"/>
        <s v="Kawasan Perdesaan Plasma Petik Sari"/>
        <s v="Kawasan Perdesaan Agrominapolitan Banjar"/>
        <s v="Kawasan Perdesaan Berbasis Wisata Artefak Gua Pawon dan Geo-wisata"/>
        <s v="Kawasan Perdesaan Pariwisata Nusa Penida"/>
        <s v="Kawasan Perdesaan Budidaya Perikanan Air Tawar Terpadu"/>
        <s v="Kawasan Perdesaan Andalan Menuju Pengembangan Inovasi Terpadu (KAMPIT)"/>
        <s v="Kawasan Perdesaan Agrowisata Pertanian Terpadu Kecamatan Gondang"/>
        <s v="Kawasan Perdesaan Agropolitan Berbasis Komoditas Unggulan Padi Waeapo"/>
        <s v="Kawasan Perdesaan Agrowisata Gurilla"/>
        <s v="Kawasan Perdesaan Agromina Wisata"/>
        <s v="Kawasan Perdesaan Sentra Minapolitan Salabangka"/>
        <s v="Kawasan Perdesaan Sembalun"/>
        <s v="Kawasan Perdesaan Agrowisata Citaman Sakti"/>
        <s v="Kawasan Perdesaan Agropolitan Sahu Timur"/>
        <s v="Kawasan Perdesaan Mapalus"/>
        <s v="Kawasan Perdesaan Agroekowisata"/>
        <s v="Kawasan Perdesaan Penyangga Pangan Berkelanjutan Merauke"/>
        <s v="Kawasan Perdesaan Agrowisata Kopi Flores Bajawa"/>
        <s v="Kawasan Perdesaan Misool"/>
      </sharedItems>
    </cacheField>
    <cacheField name="Dimensi Manajemen dan Tata Kelola" numFmtId="0">
      <sharedItems containsSemiMixedTypes="0" containsString="0" containsNumber="1" minValue="2.04" maxValue="31.32" count="30">
        <n v="25.8"/>
        <n v="28.46"/>
        <n v="28.34"/>
        <n v="25.88"/>
        <n v="27.4"/>
        <n v="23.8"/>
        <n v="31.32"/>
        <n v="27.58"/>
        <n v="23.12"/>
        <n v="26.14"/>
        <n v="26.18"/>
        <n v="22.66"/>
        <n v="23.38"/>
        <n v="19.3"/>
        <n v="15.88"/>
        <n v="21.06"/>
        <n v="20"/>
        <n v="22.96"/>
        <n v="19.399999999999999"/>
        <n v="16.14"/>
        <n v="22.36"/>
        <n v="19.54"/>
        <n v="13.62"/>
        <n v="16.940000000000001"/>
        <n v="17.02"/>
        <n v="16.12"/>
        <n v="8.6"/>
        <n v="14.3"/>
        <n v="4.68"/>
        <n v="2.04"/>
      </sharedItems>
    </cacheField>
    <cacheField name="Dimensi Sarana dan Prasaran" numFmtId="0">
      <sharedItems containsSemiMixedTypes="0" containsString="0" containsNumber="1" minValue="8.86" maxValue="19.2" count="22">
        <n v="18.399999999999999"/>
        <n v="17.71"/>
        <n v="18.8"/>
        <n v="17.600000000000001"/>
        <n v="17.2"/>
        <n v="18"/>
        <n v="16.510000000000002"/>
        <n v="18.11"/>
        <n v="16.11"/>
        <n v="19.2"/>
        <n v="16"/>
        <n v="12.82"/>
        <n v="15.42"/>
        <n v="13.51"/>
        <n v="15.6"/>
        <n v="16.399999999999999"/>
        <n v="12.9"/>
        <n v="15.2"/>
        <n v="16.8"/>
        <n v="11.93"/>
        <n v="14.51"/>
        <n v="8.86"/>
      </sharedItems>
    </cacheField>
    <cacheField name="Dimensi Interaksi Kawasan" numFmtId="0">
      <sharedItems containsSemiMixedTypes="0" containsString="0" containsNumber="1" minValue="3.8" maxValue="17.850000000000001" count="21">
        <n v="14.43"/>
        <n v="17.13"/>
        <n v="17.850000000000001"/>
        <n v="13.72"/>
        <n v="15.7"/>
        <n v="12.78"/>
        <n v="14.98"/>
        <n v="11.9"/>
        <n v="9.58"/>
        <n v="12.12"/>
        <n v="7.22"/>
        <n v="13.55"/>
        <n v="9.92"/>
        <n v="7.77"/>
        <n v="7.05"/>
        <n v="10.130000000000001"/>
        <n v="7.6"/>
        <n v="9.1999999999999993"/>
        <n v="5.78"/>
        <n v="11.4"/>
        <n v="3.8"/>
      </sharedItems>
    </cacheField>
    <cacheField name="Dimensi Aktivitas Ekonomi" numFmtId="0">
      <sharedItems containsSemiMixedTypes="0" containsString="0" containsNumber="1" minValue="0" maxValue="16.78" count="21">
        <n v="16.78"/>
        <n v="12.54"/>
        <n v="10.7"/>
        <n v="16.64"/>
        <n v="13.02"/>
        <n v="16.100000000000001"/>
        <n v="8.9"/>
        <n v="4.32"/>
        <n v="8.4600000000000009"/>
        <n v="6.78"/>
        <n v="3.46"/>
        <n v="8.3800000000000008"/>
        <n v="3.2"/>
        <n v="6.7"/>
        <n v="7.54"/>
        <n v="3.6"/>
        <n v="0.72"/>
        <n v="6.88"/>
        <n v="0"/>
        <n v="2.08"/>
        <n v="2.48"/>
      </sharedItems>
    </cacheField>
    <cacheField name="Total Nilai" numFmtId="0">
      <sharedItems containsSemiMixedTypes="0" containsString="0" containsNumber="1" minValue="14.7" maxValue="75.84" count="30">
        <n v="75.41"/>
        <n v="75.84"/>
        <n v="75.290000000000006"/>
        <n v="75.05"/>
        <n v="73.72"/>
        <n v="72.02"/>
        <n v="70.2"/>
        <n v="65.28"/>
        <n v="64.56"/>
        <n v="64.41"/>
        <n v="59.65"/>
        <n v="58.62"/>
        <n v="58.61"/>
        <n v="57.09"/>
        <n v="54.74"/>
        <n v="52.78"/>
        <n v="52.53"/>
        <n v="49.88"/>
        <n v="48.37"/>
        <n v="47.61"/>
        <n v="45.79"/>
        <n v="44.99"/>
        <n v="44.56"/>
        <n v="42.87"/>
        <n v="40.049999999999997"/>
        <n v="39.64"/>
        <n v="34.6"/>
        <n v="32.020000000000003"/>
        <n v="30.59"/>
        <n v="14.7"/>
      </sharedItems>
    </cacheField>
    <cacheField name="Status" numFmtId="0">
      <sharedItems count="4">
        <s v="Berdaya Saing"/>
        <s v="Mandiri"/>
        <s v="Konsolidasi"/>
        <s v="Inisiasi"/>
      </sharedItems>
    </cacheField>
  </cacheFields>
  <extLst>
    <ext xmlns:x14="http://schemas.microsoft.com/office/spreadsheetml/2009/9/main" uri="{725AE2AE-9491-48be-B2B4-4EB974FC3084}">
      <x14:pivotCacheDefinition pivotCacheId="14831780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x v="0"/>
    <x v="0"/>
    <x v="0"/>
    <x v="0"/>
    <x v="0"/>
    <x v="0"/>
    <x v="0"/>
    <x v="0"/>
  </r>
  <r>
    <x v="1"/>
    <x v="1"/>
    <x v="1"/>
    <x v="1"/>
    <x v="1"/>
    <x v="1"/>
    <x v="1"/>
    <x v="1"/>
    <x v="1"/>
    <x v="1"/>
    <x v="1"/>
    <x v="0"/>
  </r>
  <r>
    <x v="2"/>
    <x v="0"/>
    <x v="0"/>
    <x v="2"/>
    <x v="2"/>
    <x v="2"/>
    <x v="2"/>
    <x v="0"/>
    <x v="2"/>
    <x v="2"/>
    <x v="2"/>
    <x v="0"/>
  </r>
  <r>
    <x v="3"/>
    <x v="2"/>
    <x v="2"/>
    <x v="3"/>
    <x v="3"/>
    <x v="3"/>
    <x v="3"/>
    <x v="2"/>
    <x v="3"/>
    <x v="3"/>
    <x v="3"/>
    <x v="0"/>
  </r>
  <r>
    <x v="4"/>
    <x v="3"/>
    <x v="3"/>
    <x v="4"/>
    <x v="4"/>
    <x v="4"/>
    <x v="4"/>
    <x v="3"/>
    <x v="4"/>
    <x v="4"/>
    <x v="4"/>
    <x v="1"/>
  </r>
  <r>
    <x v="5"/>
    <x v="4"/>
    <x v="4"/>
    <x v="5"/>
    <x v="5"/>
    <x v="5"/>
    <x v="5"/>
    <x v="0"/>
    <x v="3"/>
    <x v="5"/>
    <x v="5"/>
    <x v="1"/>
  </r>
  <r>
    <x v="6"/>
    <x v="5"/>
    <x v="5"/>
    <x v="6"/>
    <x v="6"/>
    <x v="6"/>
    <x v="6"/>
    <x v="4"/>
    <x v="5"/>
    <x v="6"/>
    <x v="6"/>
    <x v="1"/>
  </r>
  <r>
    <x v="7"/>
    <x v="6"/>
    <x v="6"/>
    <x v="7"/>
    <x v="7"/>
    <x v="7"/>
    <x v="7"/>
    <x v="0"/>
    <x v="6"/>
    <x v="7"/>
    <x v="7"/>
    <x v="1"/>
  </r>
  <r>
    <x v="8"/>
    <x v="7"/>
    <x v="7"/>
    <x v="8"/>
    <x v="8"/>
    <x v="8"/>
    <x v="8"/>
    <x v="5"/>
    <x v="6"/>
    <x v="8"/>
    <x v="8"/>
    <x v="1"/>
  </r>
  <r>
    <x v="9"/>
    <x v="1"/>
    <x v="1"/>
    <x v="9"/>
    <x v="9"/>
    <x v="9"/>
    <x v="9"/>
    <x v="6"/>
    <x v="6"/>
    <x v="9"/>
    <x v="9"/>
    <x v="1"/>
  </r>
  <r>
    <x v="10"/>
    <x v="8"/>
    <x v="8"/>
    <x v="10"/>
    <x v="10"/>
    <x v="10"/>
    <x v="10"/>
    <x v="7"/>
    <x v="7"/>
    <x v="10"/>
    <x v="10"/>
    <x v="1"/>
  </r>
  <r>
    <x v="11"/>
    <x v="0"/>
    <x v="0"/>
    <x v="11"/>
    <x v="11"/>
    <x v="11"/>
    <x v="11"/>
    <x v="5"/>
    <x v="8"/>
    <x v="11"/>
    <x v="11"/>
    <x v="1"/>
  </r>
  <r>
    <x v="12"/>
    <x v="1"/>
    <x v="1"/>
    <x v="12"/>
    <x v="12"/>
    <x v="12"/>
    <x v="12"/>
    <x v="3"/>
    <x v="0"/>
    <x v="12"/>
    <x v="12"/>
    <x v="1"/>
  </r>
  <r>
    <x v="13"/>
    <x v="4"/>
    <x v="4"/>
    <x v="13"/>
    <x v="13"/>
    <x v="13"/>
    <x v="13"/>
    <x v="8"/>
    <x v="6"/>
    <x v="13"/>
    <x v="13"/>
    <x v="1"/>
  </r>
  <r>
    <x v="14"/>
    <x v="2"/>
    <x v="2"/>
    <x v="14"/>
    <x v="14"/>
    <x v="14"/>
    <x v="14"/>
    <x v="9"/>
    <x v="9"/>
    <x v="14"/>
    <x v="14"/>
    <x v="1"/>
  </r>
  <r>
    <x v="15"/>
    <x v="9"/>
    <x v="9"/>
    <x v="15"/>
    <x v="15"/>
    <x v="15"/>
    <x v="15"/>
    <x v="10"/>
    <x v="9"/>
    <x v="15"/>
    <x v="15"/>
    <x v="1"/>
  </r>
  <r>
    <x v="16"/>
    <x v="10"/>
    <x v="10"/>
    <x v="16"/>
    <x v="16"/>
    <x v="16"/>
    <x v="16"/>
    <x v="8"/>
    <x v="4"/>
    <x v="16"/>
    <x v="16"/>
    <x v="1"/>
  </r>
  <r>
    <x v="17"/>
    <x v="11"/>
    <x v="11"/>
    <x v="17"/>
    <x v="17"/>
    <x v="17"/>
    <x v="17"/>
    <x v="11"/>
    <x v="10"/>
    <x v="17"/>
    <x v="17"/>
    <x v="2"/>
  </r>
  <r>
    <x v="18"/>
    <x v="12"/>
    <x v="12"/>
    <x v="18"/>
    <x v="18"/>
    <x v="18"/>
    <x v="18"/>
    <x v="12"/>
    <x v="11"/>
    <x v="18"/>
    <x v="18"/>
    <x v="2"/>
  </r>
  <r>
    <x v="19"/>
    <x v="13"/>
    <x v="13"/>
    <x v="19"/>
    <x v="19"/>
    <x v="19"/>
    <x v="19"/>
    <x v="4"/>
    <x v="11"/>
    <x v="16"/>
    <x v="19"/>
    <x v="2"/>
  </r>
  <r>
    <x v="20"/>
    <x v="14"/>
    <x v="14"/>
    <x v="20"/>
    <x v="20"/>
    <x v="20"/>
    <x v="20"/>
    <x v="13"/>
    <x v="12"/>
    <x v="18"/>
    <x v="20"/>
    <x v="2"/>
  </r>
  <r>
    <x v="21"/>
    <x v="15"/>
    <x v="15"/>
    <x v="21"/>
    <x v="21"/>
    <x v="21"/>
    <x v="21"/>
    <x v="14"/>
    <x v="13"/>
    <x v="19"/>
    <x v="21"/>
    <x v="2"/>
  </r>
  <r>
    <x v="22"/>
    <x v="16"/>
    <x v="16"/>
    <x v="22"/>
    <x v="22"/>
    <x v="22"/>
    <x v="22"/>
    <x v="6"/>
    <x v="0"/>
    <x v="18"/>
    <x v="22"/>
    <x v="2"/>
  </r>
  <r>
    <x v="23"/>
    <x v="4"/>
    <x v="4"/>
    <x v="23"/>
    <x v="23"/>
    <x v="23"/>
    <x v="23"/>
    <x v="15"/>
    <x v="14"/>
    <x v="20"/>
    <x v="23"/>
    <x v="2"/>
  </r>
  <r>
    <x v="24"/>
    <x v="17"/>
    <x v="17"/>
    <x v="24"/>
    <x v="24"/>
    <x v="24"/>
    <x v="24"/>
    <x v="16"/>
    <x v="15"/>
    <x v="18"/>
    <x v="24"/>
    <x v="2"/>
  </r>
  <r>
    <x v="25"/>
    <x v="18"/>
    <x v="18"/>
    <x v="25"/>
    <x v="25"/>
    <x v="25"/>
    <x v="25"/>
    <x v="17"/>
    <x v="16"/>
    <x v="16"/>
    <x v="25"/>
    <x v="2"/>
  </r>
  <r>
    <x v="26"/>
    <x v="19"/>
    <x v="19"/>
    <x v="26"/>
    <x v="26"/>
    <x v="26"/>
    <x v="26"/>
    <x v="18"/>
    <x v="17"/>
    <x v="18"/>
    <x v="26"/>
    <x v="2"/>
  </r>
  <r>
    <x v="27"/>
    <x v="20"/>
    <x v="20"/>
    <x v="27"/>
    <x v="27"/>
    <x v="27"/>
    <x v="27"/>
    <x v="19"/>
    <x v="18"/>
    <x v="18"/>
    <x v="27"/>
    <x v="2"/>
  </r>
  <r>
    <x v="28"/>
    <x v="21"/>
    <x v="21"/>
    <x v="28"/>
    <x v="28"/>
    <x v="28"/>
    <x v="28"/>
    <x v="20"/>
    <x v="19"/>
    <x v="18"/>
    <x v="28"/>
    <x v="2"/>
  </r>
  <r>
    <x v="29"/>
    <x v="22"/>
    <x v="22"/>
    <x v="29"/>
    <x v="29"/>
    <x v="29"/>
    <x v="29"/>
    <x v="21"/>
    <x v="20"/>
    <x v="18"/>
    <x v="29"/>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A9F709-24A3-4B5D-B1BC-FD72C53EDBEA}" name="PivotTable13" cacheId="5" applyNumberFormats="0" applyBorderFormats="0" applyFontFormats="0" applyPatternFormats="0" applyAlignmentFormats="0" applyWidthHeightFormats="1" dataCaption="Dimensi" updatedVersion="8" minRefreshableVersion="3" useAutoFormatting="1" itemPrintTitles="1" createdVersion="8" indent="0" outline="1" outlineData="1" multipleFieldFilters="0" chartFormat="10">
  <location ref="A128:E133" firstHeaderRow="0" firstDataRow="1" firstDataCol="1"/>
  <pivotFields count="12">
    <pivotField showAll="0"/>
    <pivotField showAll="0"/>
    <pivotField showAll="0"/>
    <pivotField showAll="0"/>
    <pivotField showAll="0"/>
    <pivotField showAll="0" minSubtotal="1">
      <items count="31">
        <item x="10"/>
        <item x="8"/>
        <item x="26"/>
        <item x="20"/>
        <item x="12"/>
        <item x="18"/>
        <item x="24"/>
        <item x="1"/>
        <item x="23"/>
        <item x="19"/>
        <item x="9"/>
        <item x="28"/>
        <item x="0"/>
        <item x="17"/>
        <item x="4"/>
        <item x="16"/>
        <item x="13"/>
        <item x="15"/>
        <item x="5"/>
        <item x="25"/>
        <item x="2"/>
        <item x="6"/>
        <item x="29"/>
        <item x="14"/>
        <item x="27"/>
        <item x="7"/>
        <item x="11"/>
        <item x="22"/>
        <item x="21"/>
        <item x="3"/>
        <item t="min"/>
      </items>
    </pivotField>
    <pivotField dataField="1" showAll="0">
      <items count="31">
        <item x="29"/>
        <item x="28"/>
        <item x="26"/>
        <item x="22"/>
        <item x="27"/>
        <item x="14"/>
        <item x="25"/>
        <item x="19"/>
        <item x="23"/>
        <item x="24"/>
        <item x="13"/>
        <item x="18"/>
        <item x="21"/>
        <item x="16"/>
        <item x="15"/>
        <item x="20"/>
        <item x="11"/>
        <item x="17"/>
        <item x="8"/>
        <item x="12"/>
        <item x="5"/>
        <item x="0"/>
        <item x="3"/>
        <item x="9"/>
        <item x="10"/>
        <item x="4"/>
        <item x="7"/>
        <item x="2"/>
        <item x="1"/>
        <item x="6"/>
        <item t="default"/>
      </items>
    </pivotField>
    <pivotField dataField="1" showAll="0">
      <items count="23">
        <item x="21"/>
        <item x="19"/>
        <item x="11"/>
        <item x="16"/>
        <item x="13"/>
        <item x="20"/>
        <item x="17"/>
        <item x="12"/>
        <item x="14"/>
        <item x="10"/>
        <item x="8"/>
        <item x="15"/>
        <item x="6"/>
        <item x="18"/>
        <item x="4"/>
        <item x="3"/>
        <item x="1"/>
        <item x="5"/>
        <item x="7"/>
        <item x="0"/>
        <item x="2"/>
        <item x="9"/>
        <item t="default"/>
      </items>
    </pivotField>
    <pivotField dataField="1" showAll="0">
      <items count="22">
        <item x="20"/>
        <item x="18"/>
        <item x="14"/>
        <item x="10"/>
        <item x="16"/>
        <item x="13"/>
        <item x="17"/>
        <item x="8"/>
        <item x="12"/>
        <item x="15"/>
        <item x="19"/>
        <item x="7"/>
        <item x="9"/>
        <item x="5"/>
        <item x="11"/>
        <item x="3"/>
        <item x="0"/>
        <item x="6"/>
        <item x="4"/>
        <item x="1"/>
        <item x="2"/>
        <item t="default"/>
      </items>
    </pivotField>
    <pivotField dataField="1" showAll="0">
      <items count="22">
        <item x="18"/>
        <item x="16"/>
        <item x="19"/>
        <item x="20"/>
        <item x="12"/>
        <item x="10"/>
        <item x="15"/>
        <item x="7"/>
        <item x="13"/>
        <item x="9"/>
        <item x="17"/>
        <item x="14"/>
        <item x="11"/>
        <item x="8"/>
        <item x="6"/>
        <item x="2"/>
        <item x="1"/>
        <item x="4"/>
        <item x="5"/>
        <item x="3"/>
        <item x="0"/>
        <item t="default"/>
      </items>
    </pivotField>
    <pivotField showAll="0"/>
    <pivotField axis="axisRow" showAll="0">
      <items count="5">
        <item x="0"/>
        <item x="3"/>
        <item x="2"/>
        <item x="1"/>
        <item t="default"/>
      </items>
    </pivotField>
  </pivotFields>
  <rowFields count="1">
    <field x="11"/>
  </rowFields>
  <rowItems count="5">
    <i>
      <x/>
    </i>
    <i>
      <x v="1"/>
    </i>
    <i>
      <x v="2"/>
    </i>
    <i>
      <x v="3"/>
    </i>
    <i t="grand">
      <x/>
    </i>
  </rowItems>
  <colFields count="1">
    <field x="-2"/>
  </colFields>
  <colItems count="4">
    <i>
      <x/>
    </i>
    <i i="1">
      <x v="1"/>
    </i>
    <i i="2">
      <x v="2"/>
    </i>
    <i i="3">
      <x v="3"/>
    </i>
  </colItems>
  <dataFields count="4">
    <dataField name="Average of Dimensi Aktivitas Ekonomi" fld="9" subtotal="average" baseField="0" baseItem="1"/>
    <dataField name="Average of Dimensi Interaksi Kawasan" fld="8" subtotal="average" baseField="0" baseItem="1"/>
    <dataField name="Average of Dimensi Sarana dan Prasaran" fld="7" subtotal="average" baseField="0" baseItem="1"/>
    <dataField name="Average of Dimensi Manajemen dan Tata Kelola" fld="6" subtotal="average" baseField="0" baseItem="1"/>
  </dataFields>
  <chartFormats count="8">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9"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B9D84C-81CD-4B1B-900E-6B16B85033BA}"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06:B112" firstHeaderRow="1" firstDataRow="1" firstDataCol="1"/>
  <pivotFields count="12">
    <pivotField showAll="0"/>
    <pivotField showAll="0"/>
    <pivotField showAll="0"/>
    <pivotField showAll="0"/>
    <pivotField showAll="0"/>
    <pivotField axis="axisRow" showAll="0" measureFilter="1" minSubtotal="1">
      <items count="31">
        <item x="10"/>
        <item x="8"/>
        <item x="26"/>
        <item x="20"/>
        <item x="12"/>
        <item x="18"/>
        <item x="24"/>
        <item x="1"/>
        <item x="23"/>
        <item x="19"/>
        <item x="9"/>
        <item x="28"/>
        <item x="0"/>
        <item x="17"/>
        <item x="4"/>
        <item x="16"/>
        <item x="13"/>
        <item x="15"/>
        <item x="5"/>
        <item x="25"/>
        <item x="2"/>
        <item x="6"/>
        <item x="29"/>
        <item x="14"/>
        <item x="27"/>
        <item x="7"/>
        <item x="11"/>
        <item x="22"/>
        <item x="21"/>
        <item x="3"/>
        <item t="min"/>
      </items>
    </pivotField>
    <pivotField showAll="0"/>
    <pivotField dataField="1" showAll="0"/>
    <pivotField showAll="0"/>
    <pivotField showAll="0"/>
    <pivotField showAll="0"/>
    <pivotField showAll="0">
      <items count="5">
        <item x="0"/>
        <item x="3"/>
        <item x="2"/>
        <item x="1"/>
        <item t="default"/>
      </items>
    </pivotField>
  </pivotFields>
  <rowFields count="1">
    <field x="5"/>
  </rowFields>
  <rowItems count="6">
    <i>
      <x v="3"/>
    </i>
    <i>
      <x v="6"/>
    </i>
    <i>
      <x v="13"/>
    </i>
    <i>
      <x v="22"/>
    </i>
    <i>
      <x v="24"/>
    </i>
    <i t="grand">
      <x/>
    </i>
  </rowItems>
  <colItems count="1">
    <i/>
  </colItems>
  <dataFields count="1">
    <dataField name="Average of Dimensi Sarana dan Prasaran" fld="7" subtotal="average" baseField="5" baseItem="2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E13A00-51A9-4BDD-9907-F3FD8C73F861}"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2">
    <pivotField showAll="0"/>
    <pivotField showAll="0"/>
    <pivotField showAll="0"/>
    <pivotField showAll="0"/>
    <pivotField showAll="0"/>
    <pivotField dataField="1" showAll="0">
      <items count="31">
        <item x="10"/>
        <item x="8"/>
        <item x="26"/>
        <item x="20"/>
        <item x="12"/>
        <item x="18"/>
        <item x="24"/>
        <item x="1"/>
        <item x="23"/>
        <item x="19"/>
        <item x="9"/>
        <item x="28"/>
        <item x="0"/>
        <item x="17"/>
        <item x="4"/>
        <item x="16"/>
        <item x="13"/>
        <item x="15"/>
        <item x="5"/>
        <item x="25"/>
        <item x="2"/>
        <item x="6"/>
        <item x="29"/>
        <item x="14"/>
        <item x="27"/>
        <item x="7"/>
        <item x="11"/>
        <item x="22"/>
        <item x="21"/>
        <item x="3"/>
        <item t="default"/>
      </items>
    </pivotField>
    <pivotField showAll="0"/>
    <pivotField showAll="0"/>
    <pivotField showAll="0"/>
    <pivotField showAll="0"/>
    <pivotField showAll="0"/>
    <pivotField axis="axisRow" showAll="0">
      <items count="5">
        <item x="0"/>
        <item x="3"/>
        <item x="2"/>
        <item x="1"/>
        <item t="default"/>
      </items>
    </pivotField>
  </pivotFields>
  <rowFields count="1">
    <field x="11"/>
  </rowFields>
  <rowItems count="5">
    <i>
      <x/>
    </i>
    <i>
      <x v="1"/>
    </i>
    <i>
      <x v="2"/>
    </i>
    <i>
      <x v="3"/>
    </i>
    <i t="grand">
      <x/>
    </i>
  </rowItems>
  <colItems count="1">
    <i/>
  </colItems>
  <dataFields count="1">
    <dataField name="Count of Nama Kawasan" fld="5" subtotal="count" baseField="0" baseItem="0"/>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1" format="3">
      <pivotArea type="data" outline="0" fieldPosition="0">
        <references count="2">
          <reference field="4294967294" count="1" selected="0">
            <x v="0"/>
          </reference>
          <reference field="11" count="1" selected="0">
            <x v="2"/>
          </reference>
        </references>
      </pivotArea>
    </chartFormat>
    <chartFormat chart="1"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335385-52F4-417F-A0E2-5924B777A336}" name="PivotTable15" cacheId="5" dataOnRows="1" applyNumberFormats="0" applyBorderFormats="0" applyFontFormats="0" applyPatternFormats="0" applyAlignmentFormats="0" applyWidthHeightFormats="1" dataCaption="Dimensi" updatedVersion="8" minRefreshableVersion="3" useAutoFormatting="1" itemPrintTitles="1" createdVersion="8" indent="0" outline="1" outlineData="1" multipleFieldFilters="0" chartFormat="8">
  <location ref="A50:B54" firstHeaderRow="1" firstDataRow="1" firstDataCol="1"/>
  <pivotFields count="12">
    <pivotField showAll="0"/>
    <pivotField showAll="0"/>
    <pivotField showAll="0"/>
    <pivotField showAll="0"/>
    <pivotField showAll="0"/>
    <pivotField showAll="0" minSubtotal="1">
      <items count="31">
        <item x="10"/>
        <item x="8"/>
        <item x="26"/>
        <item x="20"/>
        <item x="12"/>
        <item x="18"/>
        <item x="24"/>
        <item x="1"/>
        <item x="23"/>
        <item x="19"/>
        <item x="9"/>
        <item x="28"/>
        <item x="0"/>
        <item x="17"/>
        <item x="4"/>
        <item x="16"/>
        <item x="13"/>
        <item x="15"/>
        <item x="5"/>
        <item x="25"/>
        <item x="2"/>
        <item x="6"/>
        <item x="29"/>
        <item x="14"/>
        <item x="27"/>
        <item x="7"/>
        <item x="11"/>
        <item x="22"/>
        <item x="21"/>
        <item x="3"/>
        <item t="min"/>
      </items>
    </pivotField>
    <pivotField dataField="1" showAll="0">
      <items count="31">
        <item x="29"/>
        <item x="28"/>
        <item x="26"/>
        <item x="22"/>
        <item x="27"/>
        <item x="14"/>
        <item x="25"/>
        <item x="19"/>
        <item x="23"/>
        <item x="24"/>
        <item x="13"/>
        <item x="18"/>
        <item x="21"/>
        <item x="16"/>
        <item x="15"/>
        <item x="20"/>
        <item x="11"/>
        <item x="17"/>
        <item x="8"/>
        <item x="12"/>
        <item x="5"/>
        <item x="0"/>
        <item x="3"/>
        <item x="9"/>
        <item x="10"/>
        <item x="4"/>
        <item x="7"/>
        <item x="2"/>
        <item x="1"/>
        <item x="6"/>
        <item t="default"/>
      </items>
    </pivotField>
    <pivotField dataField="1" showAll="0">
      <items count="23">
        <item x="21"/>
        <item x="19"/>
        <item x="11"/>
        <item x="16"/>
        <item x="13"/>
        <item x="20"/>
        <item x="17"/>
        <item x="12"/>
        <item x="14"/>
        <item x="10"/>
        <item x="8"/>
        <item x="15"/>
        <item x="6"/>
        <item x="18"/>
        <item x="4"/>
        <item x="3"/>
        <item x="1"/>
        <item x="5"/>
        <item x="7"/>
        <item x="0"/>
        <item x="2"/>
        <item x="9"/>
        <item t="default"/>
      </items>
    </pivotField>
    <pivotField dataField="1" showAll="0">
      <items count="22">
        <item x="20"/>
        <item x="18"/>
        <item x="14"/>
        <item x="10"/>
        <item x="16"/>
        <item x="13"/>
        <item x="17"/>
        <item x="8"/>
        <item x="12"/>
        <item x="15"/>
        <item x="19"/>
        <item x="7"/>
        <item x="9"/>
        <item x="5"/>
        <item x="11"/>
        <item x="3"/>
        <item x="0"/>
        <item x="6"/>
        <item x="4"/>
        <item x="1"/>
        <item x="2"/>
        <item t="default"/>
      </items>
    </pivotField>
    <pivotField dataField="1" showAll="0">
      <items count="22">
        <item x="18"/>
        <item x="16"/>
        <item x="19"/>
        <item x="20"/>
        <item x="12"/>
        <item x="10"/>
        <item x="15"/>
        <item x="7"/>
        <item x="13"/>
        <item x="9"/>
        <item x="17"/>
        <item x="14"/>
        <item x="11"/>
        <item x="8"/>
        <item x="6"/>
        <item x="2"/>
        <item x="1"/>
        <item x="4"/>
        <item x="5"/>
        <item x="3"/>
        <item x="0"/>
        <item t="default"/>
      </items>
    </pivotField>
    <pivotField showAll="0"/>
    <pivotField showAll="0">
      <items count="5">
        <item x="0"/>
        <item x="3"/>
        <item x="2"/>
        <item x="1"/>
        <item t="default"/>
      </items>
    </pivotField>
  </pivotFields>
  <rowFields count="1">
    <field x="-2"/>
  </rowFields>
  <rowItems count="4">
    <i>
      <x/>
    </i>
    <i i="1">
      <x v="1"/>
    </i>
    <i i="2">
      <x v="2"/>
    </i>
    <i i="3">
      <x v="3"/>
    </i>
  </rowItems>
  <colItems count="1">
    <i/>
  </colItems>
  <dataFields count="4">
    <dataField name="Average of Dimensi Aktivitas Ekonomi" fld="9" subtotal="average" baseField="0" baseItem="1"/>
    <dataField name="Average of Dimensi Interaksi Kawasan" fld="8" subtotal="average" baseField="0" baseItem="1"/>
    <dataField name="Average of Dimensi Sarana dan Prasaran" fld="7" subtotal="average" baseField="0" baseItem="1"/>
    <dataField name="Average of Dimensi Manajemen dan Tata Kelola" fld="6" subtotal="average" baseField="0" baseItem="1"/>
  </dataFields>
  <chartFormats count="2">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04FFA842-3204-425F-B753-39B919719D17}" sourceName="Status">
  <pivotTables>
    <pivotTable tabId="12" name="PivotTable13"/>
    <pivotTable tabId="12" name="PivotTable11"/>
    <pivotTable tabId="12" name="PivotTable15"/>
    <pivotTable tabId="12" name="PivotTable9"/>
  </pivotTables>
  <data>
    <tabular pivotCacheId="1483178096">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2F7CAC3A-8962-4F80-92AA-F92288402F88}" cache="Slicer_Status1" caption="Status" rowHeight="23495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1"/>
  <sheetViews>
    <sheetView zoomScale="50" zoomScaleNormal="100" workbookViewId="0">
      <selection sqref="A1:L31"/>
    </sheetView>
  </sheetViews>
  <sheetFormatPr defaultColWidth="8.6640625" defaultRowHeight="14.4" x14ac:dyDescent="0.3"/>
  <cols>
    <col min="1" max="1" width="5" customWidth="1"/>
    <col min="2" max="2" width="9" customWidth="1"/>
    <col min="3" max="3" width="20" customWidth="1"/>
    <col min="4" max="4" width="9" customWidth="1"/>
    <col min="5" max="5" width="16" customWidth="1"/>
    <col min="6" max="6" width="45" customWidth="1"/>
    <col min="7" max="8" width="14" customWidth="1"/>
    <col min="9" max="9" width="23.5546875" bestFit="1" customWidth="1"/>
    <col min="10" max="10" width="14" customWidth="1"/>
    <col min="11" max="11" width="11" customWidth="1"/>
    <col min="12" max="12" width="14" customWidth="1"/>
  </cols>
  <sheetData>
    <row r="1" spans="1:12" ht="15" customHeight="1" x14ac:dyDescent="0.3">
      <c r="A1" s="1" t="s">
        <v>5</v>
      </c>
      <c r="B1" s="1" t="s">
        <v>6</v>
      </c>
      <c r="C1" s="1" t="s">
        <v>7</v>
      </c>
      <c r="D1" s="1" t="s">
        <v>8</v>
      </c>
      <c r="E1" s="1" t="s">
        <v>9</v>
      </c>
      <c r="F1" s="1" t="s">
        <v>10</v>
      </c>
      <c r="G1" s="1" t="s">
        <v>11</v>
      </c>
      <c r="H1" s="1" t="s">
        <v>12</v>
      </c>
      <c r="I1" s="1" t="s">
        <v>13</v>
      </c>
      <c r="J1" s="1" t="s">
        <v>14</v>
      </c>
      <c r="K1" s="1" t="s">
        <v>15</v>
      </c>
      <c r="L1" s="1" t="s">
        <v>0</v>
      </c>
    </row>
    <row r="2" spans="1:12" ht="15" customHeight="1" x14ac:dyDescent="0.3">
      <c r="A2">
        <v>1</v>
      </c>
      <c r="B2">
        <v>33</v>
      </c>
      <c r="C2" t="s">
        <v>16</v>
      </c>
      <c r="D2">
        <v>3313</v>
      </c>
      <c r="E2" t="s">
        <v>17</v>
      </c>
      <c r="F2" t="s">
        <v>18</v>
      </c>
      <c r="G2">
        <v>25.8</v>
      </c>
      <c r="H2">
        <v>18.399999999999999</v>
      </c>
      <c r="I2">
        <v>14.43</v>
      </c>
      <c r="J2">
        <v>16.78</v>
      </c>
      <c r="K2">
        <v>75.41</v>
      </c>
      <c r="L2" t="s">
        <v>1</v>
      </c>
    </row>
    <row r="3" spans="1:12" ht="15" customHeight="1" x14ac:dyDescent="0.3">
      <c r="A3">
        <v>2</v>
      </c>
      <c r="B3">
        <v>63</v>
      </c>
      <c r="C3" t="s">
        <v>19</v>
      </c>
      <c r="D3">
        <v>6310</v>
      </c>
      <c r="E3" t="s">
        <v>20</v>
      </c>
      <c r="F3" t="s">
        <v>21</v>
      </c>
      <c r="G3">
        <v>28.46</v>
      </c>
      <c r="H3">
        <v>17.71</v>
      </c>
      <c r="I3">
        <v>17.13</v>
      </c>
      <c r="J3">
        <v>12.54</v>
      </c>
      <c r="K3">
        <v>75.84</v>
      </c>
      <c r="L3" t="s">
        <v>1</v>
      </c>
    </row>
    <row r="4" spans="1:12" ht="15" customHeight="1" x14ac:dyDescent="0.3">
      <c r="A4">
        <v>3</v>
      </c>
      <c r="B4">
        <v>33</v>
      </c>
      <c r="C4" t="s">
        <v>16</v>
      </c>
      <c r="D4">
        <v>3307</v>
      </c>
      <c r="E4" t="s">
        <v>22</v>
      </c>
      <c r="F4" t="s">
        <v>23</v>
      </c>
      <c r="G4">
        <v>28.34</v>
      </c>
      <c r="H4">
        <v>18.399999999999999</v>
      </c>
      <c r="I4">
        <v>17.850000000000001</v>
      </c>
      <c r="J4">
        <v>10.7</v>
      </c>
      <c r="K4">
        <v>75.290000000000006</v>
      </c>
      <c r="L4" t="s">
        <v>1</v>
      </c>
    </row>
    <row r="5" spans="1:12" ht="15" customHeight="1" x14ac:dyDescent="0.3">
      <c r="A5">
        <v>4</v>
      </c>
      <c r="B5">
        <v>51</v>
      </c>
      <c r="C5" t="s">
        <v>24</v>
      </c>
      <c r="D5">
        <v>5102</v>
      </c>
      <c r="E5" t="s">
        <v>25</v>
      </c>
      <c r="F5" t="s">
        <v>26</v>
      </c>
      <c r="G5">
        <v>25.88</v>
      </c>
      <c r="H5">
        <v>18.8</v>
      </c>
      <c r="I5">
        <v>13.72</v>
      </c>
      <c r="J5">
        <v>16.64</v>
      </c>
      <c r="K5">
        <v>75.05</v>
      </c>
      <c r="L5" t="s">
        <v>1</v>
      </c>
    </row>
    <row r="6" spans="1:12" ht="15" customHeight="1" x14ac:dyDescent="0.3">
      <c r="A6">
        <v>5</v>
      </c>
      <c r="B6">
        <v>12</v>
      </c>
      <c r="C6" t="s">
        <v>27</v>
      </c>
      <c r="D6">
        <v>1212</v>
      </c>
      <c r="E6" t="s">
        <v>28</v>
      </c>
      <c r="F6" t="s">
        <v>29</v>
      </c>
      <c r="G6">
        <v>27.4</v>
      </c>
      <c r="H6">
        <v>17.600000000000001</v>
      </c>
      <c r="I6">
        <v>15.7</v>
      </c>
      <c r="J6">
        <v>13.02</v>
      </c>
      <c r="K6">
        <v>73.72</v>
      </c>
      <c r="L6" t="s">
        <v>4</v>
      </c>
    </row>
    <row r="7" spans="1:12" ht="15" customHeight="1" x14ac:dyDescent="0.3">
      <c r="A7">
        <v>6</v>
      </c>
      <c r="B7">
        <v>32</v>
      </c>
      <c r="C7" t="s">
        <v>30</v>
      </c>
      <c r="D7">
        <v>3205</v>
      </c>
      <c r="E7" t="s">
        <v>31</v>
      </c>
      <c r="F7" t="s">
        <v>32</v>
      </c>
      <c r="G7">
        <v>23.8</v>
      </c>
      <c r="H7">
        <v>18.399999999999999</v>
      </c>
      <c r="I7">
        <v>13.72</v>
      </c>
      <c r="J7">
        <v>16.100000000000001</v>
      </c>
      <c r="K7">
        <v>72.02</v>
      </c>
      <c r="L7" t="s">
        <v>4</v>
      </c>
    </row>
    <row r="8" spans="1:12" ht="15" customHeight="1" x14ac:dyDescent="0.3">
      <c r="A8">
        <v>7</v>
      </c>
      <c r="B8">
        <v>15</v>
      </c>
      <c r="C8" t="s">
        <v>33</v>
      </c>
      <c r="D8">
        <v>1509</v>
      </c>
      <c r="E8" t="s">
        <v>34</v>
      </c>
      <c r="F8" t="s">
        <v>35</v>
      </c>
      <c r="G8">
        <v>31.32</v>
      </c>
      <c r="H8">
        <v>17.2</v>
      </c>
      <c r="I8">
        <v>12.78</v>
      </c>
      <c r="J8">
        <v>8.9</v>
      </c>
      <c r="K8">
        <v>70.2</v>
      </c>
      <c r="L8" t="s">
        <v>4</v>
      </c>
    </row>
    <row r="9" spans="1:12" ht="15" customHeight="1" x14ac:dyDescent="0.3">
      <c r="A9">
        <v>8</v>
      </c>
      <c r="B9">
        <v>61</v>
      </c>
      <c r="C9" t="s">
        <v>36</v>
      </c>
      <c r="D9">
        <v>6112</v>
      </c>
      <c r="E9" t="s">
        <v>37</v>
      </c>
      <c r="F9" t="s">
        <v>38</v>
      </c>
      <c r="G9">
        <v>27.58</v>
      </c>
      <c r="H9">
        <v>18.399999999999999</v>
      </c>
      <c r="I9">
        <v>14.98</v>
      </c>
      <c r="J9">
        <v>4.32</v>
      </c>
      <c r="K9">
        <v>65.28</v>
      </c>
      <c r="L9" t="s">
        <v>4</v>
      </c>
    </row>
    <row r="10" spans="1:12" ht="15" customHeight="1" x14ac:dyDescent="0.3">
      <c r="A10">
        <v>9</v>
      </c>
      <c r="B10">
        <v>13</v>
      </c>
      <c r="C10" t="s">
        <v>39</v>
      </c>
      <c r="D10">
        <v>1306</v>
      </c>
      <c r="E10" t="s">
        <v>40</v>
      </c>
      <c r="F10" t="s">
        <v>41</v>
      </c>
      <c r="G10">
        <v>23.12</v>
      </c>
      <c r="H10">
        <v>18</v>
      </c>
      <c r="I10">
        <v>14.98</v>
      </c>
      <c r="J10">
        <v>8.4600000000000009</v>
      </c>
      <c r="K10">
        <v>64.56</v>
      </c>
      <c r="L10" t="s">
        <v>4</v>
      </c>
    </row>
    <row r="11" spans="1:12" ht="15" customHeight="1" x14ac:dyDescent="0.3">
      <c r="A11">
        <v>10</v>
      </c>
      <c r="B11">
        <v>63</v>
      </c>
      <c r="C11" t="s">
        <v>19</v>
      </c>
      <c r="D11">
        <v>6309</v>
      </c>
      <c r="E11" t="s">
        <v>42</v>
      </c>
      <c r="F11" t="s">
        <v>43</v>
      </c>
      <c r="G11">
        <v>26.14</v>
      </c>
      <c r="H11">
        <v>16.510000000000002</v>
      </c>
      <c r="I11">
        <v>14.98</v>
      </c>
      <c r="J11">
        <v>6.78</v>
      </c>
      <c r="K11">
        <v>64.41</v>
      </c>
      <c r="L11" t="s">
        <v>4</v>
      </c>
    </row>
    <row r="12" spans="1:12" ht="15" customHeight="1" x14ac:dyDescent="0.3">
      <c r="A12">
        <v>11</v>
      </c>
      <c r="B12">
        <v>17</v>
      </c>
      <c r="C12" t="s">
        <v>44</v>
      </c>
      <c r="D12">
        <v>1701</v>
      </c>
      <c r="E12" t="s">
        <v>45</v>
      </c>
      <c r="F12" t="s">
        <v>46</v>
      </c>
      <c r="G12">
        <v>26.18</v>
      </c>
      <c r="H12">
        <v>18.11</v>
      </c>
      <c r="I12">
        <v>11.9</v>
      </c>
      <c r="J12">
        <v>3.46</v>
      </c>
      <c r="K12">
        <v>59.65</v>
      </c>
      <c r="L12" t="s">
        <v>4</v>
      </c>
    </row>
    <row r="13" spans="1:12" ht="15" customHeight="1" x14ac:dyDescent="0.3">
      <c r="A13">
        <v>12</v>
      </c>
      <c r="B13">
        <v>33</v>
      </c>
      <c r="C13" t="s">
        <v>16</v>
      </c>
      <c r="D13">
        <v>3324</v>
      </c>
      <c r="E13" t="s">
        <v>47</v>
      </c>
      <c r="F13" t="s">
        <v>48</v>
      </c>
      <c r="G13">
        <v>22.66</v>
      </c>
      <c r="H13">
        <v>18</v>
      </c>
      <c r="I13">
        <v>9.58</v>
      </c>
      <c r="J13">
        <v>8.3800000000000008</v>
      </c>
      <c r="K13">
        <v>58.62</v>
      </c>
      <c r="L13" t="s">
        <v>4</v>
      </c>
    </row>
    <row r="14" spans="1:12" ht="15" customHeight="1" x14ac:dyDescent="0.3">
      <c r="A14">
        <v>13</v>
      </c>
      <c r="B14">
        <v>63</v>
      </c>
      <c r="C14" t="s">
        <v>19</v>
      </c>
      <c r="D14">
        <v>6303</v>
      </c>
      <c r="E14" t="s">
        <v>49</v>
      </c>
      <c r="F14" t="s">
        <v>50</v>
      </c>
      <c r="G14">
        <v>23.38</v>
      </c>
      <c r="H14">
        <v>17.600000000000001</v>
      </c>
      <c r="I14">
        <v>14.43</v>
      </c>
      <c r="J14">
        <v>3.2</v>
      </c>
      <c r="K14">
        <v>58.61</v>
      </c>
      <c r="L14" t="s">
        <v>4</v>
      </c>
    </row>
    <row r="15" spans="1:12" ht="15" customHeight="1" x14ac:dyDescent="0.3">
      <c r="A15">
        <v>14</v>
      </c>
      <c r="B15">
        <v>32</v>
      </c>
      <c r="C15" t="s">
        <v>30</v>
      </c>
      <c r="D15">
        <v>3217</v>
      </c>
      <c r="E15" t="s">
        <v>51</v>
      </c>
      <c r="F15" t="s">
        <v>52</v>
      </c>
      <c r="G15">
        <v>19.3</v>
      </c>
      <c r="H15">
        <v>16.11</v>
      </c>
      <c r="I15">
        <v>14.98</v>
      </c>
      <c r="J15">
        <v>6.7</v>
      </c>
      <c r="K15">
        <v>57.09</v>
      </c>
      <c r="L15" t="s">
        <v>4</v>
      </c>
    </row>
    <row r="16" spans="1:12" ht="15" customHeight="1" x14ac:dyDescent="0.3">
      <c r="A16">
        <v>15</v>
      </c>
      <c r="B16">
        <v>51</v>
      </c>
      <c r="C16" t="s">
        <v>24</v>
      </c>
      <c r="D16">
        <v>5105</v>
      </c>
      <c r="E16" t="s">
        <v>53</v>
      </c>
      <c r="F16" t="s">
        <v>54</v>
      </c>
      <c r="G16">
        <v>15.88</v>
      </c>
      <c r="H16">
        <v>19.2</v>
      </c>
      <c r="I16">
        <v>12.12</v>
      </c>
      <c r="J16">
        <v>7.54</v>
      </c>
      <c r="K16">
        <v>54.74</v>
      </c>
      <c r="L16" t="s">
        <v>4</v>
      </c>
    </row>
    <row r="17" spans="1:12" ht="15" customHeight="1" x14ac:dyDescent="0.3">
      <c r="A17">
        <v>16</v>
      </c>
      <c r="B17">
        <v>11</v>
      </c>
      <c r="C17" t="s">
        <v>55</v>
      </c>
      <c r="D17">
        <v>1115</v>
      </c>
      <c r="E17" t="s">
        <v>56</v>
      </c>
      <c r="F17" t="s">
        <v>57</v>
      </c>
      <c r="G17">
        <v>21.06</v>
      </c>
      <c r="H17">
        <v>16</v>
      </c>
      <c r="I17">
        <v>12.12</v>
      </c>
      <c r="J17">
        <v>3.6</v>
      </c>
      <c r="K17">
        <v>52.78</v>
      </c>
      <c r="L17" t="s">
        <v>4</v>
      </c>
    </row>
    <row r="18" spans="1:12" ht="15" customHeight="1" x14ac:dyDescent="0.3">
      <c r="A18">
        <v>17</v>
      </c>
      <c r="B18">
        <v>19</v>
      </c>
      <c r="C18" t="s">
        <v>58</v>
      </c>
      <c r="D18">
        <v>1906</v>
      </c>
      <c r="E18" t="s">
        <v>59</v>
      </c>
      <c r="F18" t="s">
        <v>60</v>
      </c>
      <c r="G18">
        <v>20</v>
      </c>
      <c r="H18">
        <v>16.11</v>
      </c>
      <c r="I18">
        <v>15.7</v>
      </c>
      <c r="J18">
        <v>0.72</v>
      </c>
      <c r="K18">
        <v>52.53</v>
      </c>
      <c r="L18" t="s">
        <v>4</v>
      </c>
    </row>
    <row r="19" spans="1:12" ht="15" customHeight="1" x14ac:dyDescent="0.3">
      <c r="A19">
        <v>18</v>
      </c>
      <c r="B19">
        <v>35</v>
      </c>
      <c r="C19" t="s">
        <v>61</v>
      </c>
      <c r="D19">
        <v>3516</v>
      </c>
      <c r="E19" t="s">
        <v>62</v>
      </c>
      <c r="F19" t="s">
        <v>63</v>
      </c>
      <c r="G19">
        <v>22.96</v>
      </c>
      <c r="H19">
        <v>12.82</v>
      </c>
      <c r="I19">
        <v>7.22</v>
      </c>
      <c r="J19">
        <v>6.88</v>
      </c>
      <c r="K19">
        <v>49.88</v>
      </c>
      <c r="L19" t="s">
        <v>3</v>
      </c>
    </row>
    <row r="20" spans="1:12" ht="15" customHeight="1" x14ac:dyDescent="0.3">
      <c r="A20">
        <v>19</v>
      </c>
      <c r="B20">
        <v>81</v>
      </c>
      <c r="C20" t="s">
        <v>64</v>
      </c>
      <c r="D20">
        <v>8104</v>
      </c>
      <c r="E20" t="s">
        <v>65</v>
      </c>
      <c r="F20" t="s">
        <v>66</v>
      </c>
      <c r="G20">
        <v>19.399999999999999</v>
      </c>
      <c r="H20">
        <v>15.42</v>
      </c>
      <c r="I20">
        <v>13.55</v>
      </c>
      <c r="J20">
        <v>0</v>
      </c>
      <c r="K20">
        <v>48.37</v>
      </c>
      <c r="L20" t="s">
        <v>3</v>
      </c>
    </row>
    <row r="21" spans="1:12" ht="15" customHeight="1" x14ac:dyDescent="0.3">
      <c r="A21">
        <v>20</v>
      </c>
      <c r="B21">
        <v>73</v>
      </c>
      <c r="C21" t="s">
        <v>67</v>
      </c>
      <c r="D21">
        <v>7311</v>
      </c>
      <c r="E21" t="s">
        <v>68</v>
      </c>
      <c r="F21" t="s">
        <v>69</v>
      </c>
      <c r="G21">
        <v>16.14</v>
      </c>
      <c r="H21">
        <v>17.2</v>
      </c>
      <c r="I21">
        <v>13.55</v>
      </c>
      <c r="J21">
        <v>0.72</v>
      </c>
      <c r="K21">
        <v>47.61</v>
      </c>
      <c r="L21" t="s">
        <v>3</v>
      </c>
    </row>
    <row r="22" spans="1:12" ht="15" customHeight="1" x14ac:dyDescent="0.3">
      <c r="A22">
        <v>21</v>
      </c>
      <c r="B22">
        <v>36</v>
      </c>
      <c r="C22" t="s">
        <v>70</v>
      </c>
      <c r="D22">
        <v>3604</v>
      </c>
      <c r="E22" t="s">
        <v>71</v>
      </c>
      <c r="F22" t="s">
        <v>72</v>
      </c>
      <c r="G22">
        <v>22.36</v>
      </c>
      <c r="H22">
        <v>13.51</v>
      </c>
      <c r="I22">
        <v>9.92</v>
      </c>
      <c r="J22">
        <v>0</v>
      </c>
      <c r="K22">
        <v>45.79</v>
      </c>
      <c r="L22" t="s">
        <v>3</v>
      </c>
    </row>
    <row r="23" spans="1:12" ht="15" customHeight="1" x14ac:dyDescent="0.3">
      <c r="A23">
        <v>22</v>
      </c>
      <c r="B23">
        <v>72</v>
      </c>
      <c r="C23" t="s">
        <v>73</v>
      </c>
      <c r="D23">
        <v>7206</v>
      </c>
      <c r="E23" t="s">
        <v>74</v>
      </c>
      <c r="F23" t="s">
        <v>75</v>
      </c>
      <c r="G23">
        <v>19.54</v>
      </c>
      <c r="H23">
        <v>15.6</v>
      </c>
      <c r="I23">
        <v>7.77</v>
      </c>
      <c r="J23">
        <v>2.08</v>
      </c>
      <c r="K23">
        <v>44.99</v>
      </c>
      <c r="L23" t="s">
        <v>3</v>
      </c>
    </row>
    <row r="24" spans="1:12" ht="15" customHeight="1" x14ac:dyDescent="0.3">
      <c r="A24">
        <v>23</v>
      </c>
      <c r="B24">
        <v>52</v>
      </c>
      <c r="C24" t="s">
        <v>76</v>
      </c>
      <c r="D24">
        <v>5203</v>
      </c>
      <c r="E24" t="s">
        <v>77</v>
      </c>
      <c r="F24" t="s">
        <v>78</v>
      </c>
      <c r="G24">
        <v>13.62</v>
      </c>
      <c r="H24">
        <v>16.510000000000002</v>
      </c>
      <c r="I24">
        <v>14.43</v>
      </c>
      <c r="J24">
        <v>0</v>
      </c>
      <c r="K24">
        <v>44.56</v>
      </c>
      <c r="L24" t="s">
        <v>3</v>
      </c>
    </row>
    <row r="25" spans="1:12" ht="15" customHeight="1" x14ac:dyDescent="0.3">
      <c r="A25">
        <v>24</v>
      </c>
      <c r="B25">
        <v>32</v>
      </c>
      <c r="C25" t="s">
        <v>30</v>
      </c>
      <c r="D25">
        <v>3202</v>
      </c>
      <c r="E25" t="s">
        <v>79</v>
      </c>
      <c r="F25" t="s">
        <v>80</v>
      </c>
      <c r="G25">
        <v>16.940000000000001</v>
      </c>
      <c r="H25">
        <v>16.399999999999999</v>
      </c>
      <c r="I25">
        <v>7.05</v>
      </c>
      <c r="J25">
        <v>2.48</v>
      </c>
      <c r="K25">
        <v>42.87</v>
      </c>
      <c r="L25" t="s">
        <v>3</v>
      </c>
    </row>
    <row r="26" spans="1:12" ht="15" customHeight="1" x14ac:dyDescent="0.3">
      <c r="A26">
        <v>25</v>
      </c>
      <c r="B26">
        <v>82</v>
      </c>
      <c r="C26" t="s">
        <v>81</v>
      </c>
      <c r="D26">
        <v>8201</v>
      </c>
      <c r="E26" t="s">
        <v>82</v>
      </c>
      <c r="F26" t="s">
        <v>83</v>
      </c>
      <c r="G26">
        <v>17.02</v>
      </c>
      <c r="H26">
        <v>12.9</v>
      </c>
      <c r="I26">
        <v>10.130000000000001</v>
      </c>
      <c r="J26">
        <v>0</v>
      </c>
      <c r="K26">
        <v>40.049999999999997</v>
      </c>
      <c r="L26" t="s">
        <v>3</v>
      </c>
    </row>
    <row r="27" spans="1:12" ht="15" customHeight="1" x14ac:dyDescent="0.3">
      <c r="A27">
        <v>26</v>
      </c>
      <c r="B27">
        <v>71</v>
      </c>
      <c r="C27" t="s">
        <v>84</v>
      </c>
      <c r="D27">
        <v>7102</v>
      </c>
      <c r="E27" t="s">
        <v>85</v>
      </c>
      <c r="F27" t="s">
        <v>86</v>
      </c>
      <c r="G27">
        <v>16.12</v>
      </c>
      <c r="H27">
        <v>15.2</v>
      </c>
      <c r="I27">
        <v>7.6</v>
      </c>
      <c r="J27">
        <v>0.72</v>
      </c>
      <c r="K27">
        <v>39.64</v>
      </c>
      <c r="L27" t="s">
        <v>3</v>
      </c>
    </row>
    <row r="28" spans="1:12" ht="15" customHeight="1" x14ac:dyDescent="0.3">
      <c r="A28">
        <v>27</v>
      </c>
      <c r="B28">
        <v>64</v>
      </c>
      <c r="C28" t="s">
        <v>87</v>
      </c>
      <c r="D28">
        <v>6402</v>
      </c>
      <c r="E28" t="s">
        <v>88</v>
      </c>
      <c r="F28" t="s">
        <v>89</v>
      </c>
      <c r="G28">
        <v>8.6</v>
      </c>
      <c r="H28">
        <v>16.8</v>
      </c>
      <c r="I28">
        <v>9.1999999999999993</v>
      </c>
      <c r="J28">
        <v>0</v>
      </c>
      <c r="K28">
        <v>34.6</v>
      </c>
      <c r="L28" t="s">
        <v>3</v>
      </c>
    </row>
    <row r="29" spans="1:12" ht="15" customHeight="1" x14ac:dyDescent="0.3">
      <c r="A29">
        <v>28</v>
      </c>
      <c r="B29">
        <v>93</v>
      </c>
      <c r="C29" t="s">
        <v>90</v>
      </c>
      <c r="D29">
        <v>9301</v>
      </c>
      <c r="E29" t="s">
        <v>91</v>
      </c>
      <c r="F29" t="s">
        <v>92</v>
      </c>
      <c r="G29">
        <v>14.3</v>
      </c>
      <c r="H29">
        <v>11.93</v>
      </c>
      <c r="I29">
        <v>5.78</v>
      </c>
      <c r="J29">
        <v>0</v>
      </c>
      <c r="K29">
        <v>32.020000000000003</v>
      </c>
      <c r="L29" t="s">
        <v>3</v>
      </c>
    </row>
    <row r="30" spans="1:12" ht="15" customHeight="1" x14ac:dyDescent="0.3">
      <c r="A30">
        <v>29</v>
      </c>
      <c r="B30">
        <v>53</v>
      </c>
      <c r="C30" t="s">
        <v>93</v>
      </c>
      <c r="D30">
        <v>5309</v>
      </c>
      <c r="E30" t="s">
        <v>94</v>
      </c>
      <c r="F30" t="s">
        <v>95</v>
      </c>
      <c r="G30">
        <v>4.68</v>
      </c>
      <c r="H30">
        <v>14.51</v>
      </c>
      <c r="I30">
        <v>11.4</v>
      </c>
      <c r="J30">
        <v>0</v>
      </c>
      <c r="K30">
        <v>30.59</v>
      </c>
      <c r="L30" t="s">
        <v>3</v>
      </c>
    </row>
    <row r="31" spans="1:12" ht="15" customHeight="1" x14ac:dyDescent="0.3">
      <c r="A31">
        <v>30</v>
      </c>
      <c r="B31">
        <v>96</v>
      </c>
      <c r="C31" t="s">
        <v>96</v>
      </c>
      <c r="D31">
        <v>9603</v>
      </c>
      <c r="E31" t="s">
        <v>97</v>
      </c>
      <c r="F31" t="s">
        <v>98</v>
      </c>
      <c r="G31">
        <v>2.04</v>
      </c>
      <c r="H31">
        <v>8.86</v>
      </c>
      <c r="I31">
        <v>3.8</v>
      </c>
      <c r="J31">
        <v>0</v>
      </c>
      <c r="K31">
        <v>14.7</v>
      </c>
      <c r="L31" t="s">
        <v>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42C94-EC22-42D6-9381-D0FA495E828B}">
  <dimension ref="A1:O141"/>
  <sheetViews>
    <sheetView tabSelected="1" topLeftCell="B113" zoomScale="70" zoomScaleNormal="68" workbookViewId="0">
      <selection activeCell="J153" sqref="J153"/>
    </sheetView>
  </sheetViews>
  <sheetFormatPr defaultRowHeight="14.4" x14ac:dyDescent="0.3"/>
  <cols>
    <col min="1" max="1" width="13.88671875" bestFit="1" customWidth="1"/>
    <col min="2" max="2" width="22.33203125" bestFit="1" customWidth="1"/>
    <col min="3" max="3" width="34.5546875" bestFit="1" customWidth="1"/>
    <col min="4" max="4" width="36.44140625" bestFit="1" customWidth="1"/>
    <col min="5" max="5" width="43.33203125" bestFit="1" customWidth="1"/>
    <col min="6" max="12" width="17.21875" bestFit="1" customWidth="1"/>
    <col min="13" max="13" width="47.21875" customWidth="1"/>
    <col min="14" max="31" width="17.21875" bestFit="1" customWidth="1"/>
    <col min="32" max="32" width="11.33203125" bestFit="1" customWidth="1"/>
  </cols>
  <sheetData>
    <row r="1" spans="1:15" x14ac:dyDescent="0.3">
      <c r="A1" s="15" t="s">
        <v>109</v>
      </c>
      <c r="B1" s="15"/>
      <c r="C1" s="15"/>
      <c r="D1" s="15"/>
      <c r="E1" s="15"/>
      <c r="F1" s="15"/>
      <c r="G1" s="15"/>
      <c r="H1" s="15"/>
    </row>
    <row r="3" spans="1:15" x14ac:dyDescent="0.3">
      <c r="A3" s="8" t="s">
        <v>114</v>
      </c>
      <c r="B3" t="s">
        <v>116</v>
      </c>
      <c r="C3" s="18"/>
    </row>
    <row r="4" spans="1:15" x14ac:dyDescent="0.3">
      <c r="A4" s="9" t="s">
        <v>1</v>
      </c>
      <c r="B4" s="21">
        <v>4</v>
      </c>
    </row>
    <row r="5" spans="1:15" x14ac:dyDescent="0.3">
      <c r="A5" s="9" t="s">
        <v>2</v>
      </c>
      <c r="B5" s="21">
        <v>1</v>
      </c>
    </row>
    <row r="6" spans="1:15" x14ac:dyDescent="0.3">
      <c r="A6" s="9" t="s">
        <v>3</v>
      </c>
      <c r="B6" s="21">
        <v>12</v>
      </c>
    </row>
    <row r="7" spans="1:15" x14ac:dyDescent="0.3">
      <c r="A7" s="9" t="s">
        <v>4</v>
      </c>
      <c r="B7" s="21">
        <v>13</v>
      </c>
    </row>
    <row r="8" spans="1:15" x14ac:dyDescent="0.3">
      <c r="A8" s="9" t="s">
        <v>115</v>
      </c>
      <c r="B8" s="21">
        <v>30</v>
      </c>
      <c r="C8" s="18"/>
      <c r="L8" s="20" t="s">
        <v>110</v>
      </c>
      <c r="M8" s="20"/>
      <c r="N8" s="20"/>
      <c r="O8" s="20"/>
    </row>
    <row r="9" spans="1:15" x14ac:dyDescent="0.3">
      <c r="L9" s="20"/>
      <c r="M9" s="20"/>
      <c r="N9" s="20"/>
      <c r="O9" s="20"/>
    </row>
    <row r="10" spans="1:15" x14ac:dyDescent="0.3">
      <c r="L10" s="20"/>
      <c r="M10" s="20"/>
      <c r="N10" s="20"/>
      <c r="O10" s="20"/>
    </row>
    <row r="11" spans="1:15" x14ac:dyDescent="0.3">
      <c r="L11" s="20"/>
      <c r="M11" s="20"/>
      <c r="N11" s="20"/>
      <c r="O11" s="20"/>
    </row>
    <row r="12" spans="1:15" x14ac:dyDescent="0.3">
      <c r="L12" s="20"/>
      <c r="M12" s="20"/>
      <c r="N12" s="20"/>
      <c r="O12" s="20"/>
    </row>
    <row r="13" spans="1:15" ht="14.4" customHeight="1" x14ac:dyDescent="0.3"/>
    <row r="19" spans="1:15" x14ac:dyDescent="0.3">
      <c r="A19" s="15" t="s">
        <v>117</v>
      </c>
      <c r="B19" s="15"/>
      <c r="C19" s="15"/>
      <c r="D19" s="15"/>
      <c r="E19" s="15"/>
      <c r="F19" s="15"/>
      <c r="G19" s="15"/>
      <c r="H19" s="15"/>
    </row>
    <row r="20" spans="1:15" x14ac:dyDescent="0.3">
      <c r="E20" s="7"/>
    </row>
    <row r="21" spans="1:15" x14ac:dyDescent="0.3">
      <c r="A21" s="12" t="s">
        <v>114</v>
      </c>
      <c r="B21" s="12" t="s">
        <v>118</v>
      </c>
    </row>
    <row r="22" spans="1:15" x14ac:dyDescent="0.3">
      <c r="A22" s="11" t="s">
        <v>55</v>
      </c>
      <c r="B22" s="10">
        <v>52.78</v>
      </c>
    </row>
    <row r="23" spans="1:15" x14ac:dyDescent="0.3">
      <c r="A23" s="11" t="s">
        <v>24</v>
      </c>
      <c r="B23" s="10">
        <v>64.894999999999996</v>
      </c>
      <c r="L23" s="20" t="s">
        <v>111</v>
      </c>
      <c r="M23" s="20"/>
      <c r="N23" s="20"/>
      <c r="O23" s="20"/>
    </row>
    <row r="24" spans="1:15" x14ac:dyDescent="0.3">
      <c r="A24" s="11" t="s">
        <v>70</v>
      </c>
      <c r="B24" s="10">
        <v>45.79</v>
      </c>
      <c r="E24" s="9"/>
      <c r="L24" s="20"/>
      <c r="M24" s="20"/>
      <c r="N24" s="20"/>
      <c r="O24" s="20"/>
    </row>
    <row r="25" spans="1:15" x14ac:dyDescent="0.3">
      <c r="A25" s="11" t="s">
        <v>44</v>
      </c>
      <c r="B25" s="10">
        <v>59.65</v>
      </c>
      <c r="E25" s="9"/>
      <c r="L25" s="20"/>
      <c r="M25" s="20"/>
      <c r="N25" s="20"/>
      <c r="O25" s="20"/>
    </row>
    <row r="26" spans="1:15" x14ac:dyDescent="0.3">
      <c r="A26" s="11" t="s">
        <v>33</v>
      </c>
      <c r="B26" s="10">
        <v>70.2</v>
      </c>
      <c r="E26" s="9"/>
      <c r="L26" s="20"/>
      <c r="M26" s="20"/>
      <c r="N26" s="20"/>
      <c r="O26" s="20"/>
    </row>
    <row r="27" spans="1:15" x14ac:dyDescent="0.3">
      <c r="A27" s="11" t="s">
        <v>30</v>
      </c>
      <c r="B27" s="10">
        <v>57.326666666666675</v>
      </c>
      <c r="E27" s="9"/>
      <c r="L27" s="20"/>
      <c r="M27" s="20"/>
      <c r="N27" s="20"/>
      <c r="O27" s="20"/>
    </row>
    <row r="28" spans="1:15" x14ac:dyDescent="0.3">
      <c r="A28" s="11" t="s">
        <v>16</v>
      </c>
      <c r="B28" s="10">
        <v>69.773333333333326</v>
      </c>
      <c r="E28" s="9"/>
    </row>
    <row r="29" spans="1:15" x14ac:dyDescent="0.3">
      <c r="A29" s="11" t="s">
        <v>61</v>
      </c>
      <c r="B29" s="10">
        <v>49.88</v>
      </c>
      <c r="E29" s="9"/>
    </row>
    <row r="30" spans="1:15" x14ac:dyDescent="0.3">
      <c r="A30" s="11" t="s">
        <v>36</v>
      </c>
      <c r="B30" s="10">
        <v>65.28</v>
      </c>
      <c r="E30" s="9"/>
    </row>
    <row r="31" spans="1:15" x14ac:dyDescent="0.3">
      <c r="A31" s="11" t="s">
        <v>19</v>
      </c>
      <c r="B31" s="10">
        <v>66.286666666666676</v>
      </c>
      <c r="E31" s="9"/>
    </row>
    <row r="32" spans="1:15" x14ac:dyDescent="0.3">
      <c r="A32" s="11" t="s">
        <v>87</v>
      </c>
      <c r="B32" s="10">
        <v>34.6</v>
      </c>
      <c r="E32" s="9"/>
    </row>
    <row r="33" spans="1:13" x14ac:dyDescent="0.3">
      <c r="A33" s="11" t="s">
        <v>58</v>
      </c>
      <c r="B33" s="10">
        <v>52.53</v>
      </c>
      <c r="E33" s="9"/>
    </row>
    <row r="34" spans="1:13" x14ac:dyDescent="0.3">
      <c r="A34" s="11" t="s">
        <v>64</v>
      </c>
      <c r="B34" s="10">
        <v>48.37</v>
      </c>
      <c r="E34" s="9"/>
    </row>
    <row r="35" spans="1:13" x14ac:dyDescent="0.3">
      <c r="A35" s="11" t="s">
        <v>81</v>
      </c>
      <c r="B35" s="10">
        <v>40.049999999999997</v>
      </c>
      <c r="E35" s="9"/>
    </row>
    <row r="36" spans="1:13" x14ac:dyDescent="0.3">
      <c r="A36" s="11" t="s">
        <v>76</v>
      </c>
      <c r="B36" s="10">
        <v>44.56</v>
      </c>
      <c r="E36" s="9"/>
    </row>
    <row r="37" spans="1:13" x14ac:dyDescent="0.3">
      <c r="A37" s="11" t="s">
        <v>93</v>
      </c>
      <c r="B37" s="10">
        <v>30.59</v>
      </c>
      <c r="E37" s="9"/>
    </row>
    <row r="38" spans="1:13" x14ac:dyDescent="0.3">
      <c r="A38" s="11" t="s">
        <v>96</v>
      </c>
      <c r="B38" s="10">
        <v>14.7</v>
      </c>
      <c r="E38" s="9"/>
    </row>
    <row r="39" spans="1:13" x14ac:dyDescent="0.3">
      <c r="A39" s="11" t="s">
        <v>90</v>
      </c>
      <c r="B39" s="10">
        <v>32.020000000000003</v>
      </c>
      <c r="E39" s="9"/>
    </row>
    <row r="40" spans="1:13" x14ac:dyDescent="0.3">
      <c r="A40" s="11" t="s">
        <v>67</v>
      </c>
      <c r="B40" s="10">
        <v>47.61</v>
      </c>
      <c r="E40" s="9"/>
    </row>
    <row r="41" spans="1:13" x14ac:dyDescent="0.3">
      <c r="A41" s="11" t="s">
        <v>73</v>
      </c>
      <c r="B41" s="10">
        <v>44.99</v>
      </c>
      <c r="E41" s="9"/>
    </row>
    <row r="42" spans="1:13" x14ac:dyDescent="0.3">
      <c r="A42" s="11" t="s">
        <v>84</v>
      </c>
      <c r="B42" s="10">
        <v>39.64</v>
      </c>
      <c r="E42" s="9"/>
    </row>
    <row r="43" spans="1:13" x14ac:dyDescent="0.3">
      <c r="A43" s="11" t="s">
        <v>39</v>
      </c>
      <c r="B43" s="10">
        <v>64.56</v>
      </c>
      <c r="E43" s="9"/>
    </row>
    <row r="44" spans="1:13" x14ac:dyDescent="0.3">
      <c r="A44" s="11" t="s">
        <v>27</v>
      </c>
      <c r="B44" s="10">
        <v>73.72</v>
      </c>
      <c r="E44" s="9"/>
    </row>
    <row r="45" spans="1:13" x14ac:dyDescent="0.3">
      <c r="A45" s="13" t="s">
        <v>115</v>
      </c>
      <c r="B45" s="12">
        <v>54.048999999999978</v>
      </c>
      <c r="E45" s="9"/>
    </row>
    <row r="46" spans="1:13" x14ac:dyDescent="0.3">
      <c r="E46" s="9"/>
    </row>
    <row r="47" spans="1:13" x14ac:dyDescent="0.3">
      <c r="A47" s="16" t="s">
        <v>120</v>
      </c>
      <c r="B47" s="15"/>
      <c r="C47" s="15"/>
      <c r="D47" s="15"/>
      <c r="E47" s="15"/>
      <c r="F47" s="15"/>
      <c r="G47" s="15"/>
      <c r="H47" s="15"/>
      <c r="I47" s="15"/>
      <c r="J47" s="15"/>
      <c r="K47" s="15"/>
      <c r="L47" s="15"/>
      <c r="M47" s="15"/>
    </row>
    <row r="49" spans="1:13" x14ac:dyDescent="0.3">
      <c r="E49" t="s">
        <v>119</v>
      </c>
    </row>
    <row r="50" spans="1:13" x14ac:dyDescent="0.3">
      <c r="A50" s="8" t="s">
        <v>112</v>
      </c>
    </row>
    <row r="51" spans="1:13" x14ac:dyDescent="0.3">
      <c r="A51" s="9" t="s">
        <v>127</v>
      </c>
      <c r="B51" s="21">
        <v>5.3573333333333322</v>
      </c>
      <c r="J51" s="20" t="s">
        <v>121</v>
      </c>
      <c r="K51" s="20"/>
      <c r="L51" s="20"/>
      <c r="M51" s="20"/>
    </row>
    <row r="52" spans="1:13" x14ac:dyDescent="0.3">
      <c r="A52" s="9" t="s">
        <v>128</v>
      </c>
      <c r="B52" s="21">
        <v>12.083333333333334</v>
      </c>
      <c r="J52" s="20"/>
      <c r="K52" s="20"/>
      <c r="L52" s="20"/>
      <c r="M52" s="20"/>
    </row>
    <row r="53" spans="1:13" x14ac:dyDescent="0.3">
      <c r="A53" s="9" t="s">
        <v>126</v>
      </c>
      <c r="B53" s="21">
        <v>16.273666666666664</v>
      </c>
      <c r="J53" s="20"/>
      <c r="K53" s="20"/>
      <c r="L53" s="20"/>
      <c r="M53" s="20"/>
    </row>
    <row r="54" spans="1:13" x14ac:dyDescent="0.3">
      <c r="A54" s="9" t="s">
        <v>129</v>
      </c>
      <c r="B54" s="21">
        <v>20.333999999999996</v>
      </c>
      <c r="J54" s="20"/>
      <c r="K54" s="20"/>
      <c r="L54" s="20"/>
      <c r="M54" s="20"/>
    </row>
    <row r="55" spans="1:13" x14ac:dyDescent="0.3">
      <c r="A55" s="18"/>
      <c r="B55" s="18"/>
      <c r="J55" s="20"/>
      <c r="K55" s="20"/>
      <c r="L55" s="20"/>
      <c r="M55" s="20"/>
    </row>
    <row r="67" spans="1:13" x14ac:dyDescent="0.3">
      <c r="A67" s="15" t="s">
        <v>122</v>
      </c>
      <c r="B67" s="15"/>
      <c r="C67" s="15"/>
      <c r="D67" s="15"/>
      <c r="E67" s="15"/>
      <c r="F67" s="15"/>
    </row>
    <row r="69" spans="1:13" x14ac:dyDescent="0.3">
      <c r="A69" s="17" t="s">
        <v>113</v>
      </c>
      <c r="B69" s="17" t="s">
        <v>15</v>
      </c>
    </row>
    <row r="70" spans="1:13" x14ac:dyDescent="0.3">
      <c r="A70">
        <v>16.78</v>
      </c>
      <c r="B70">
        <v>75.41</v>
      </c>
    </row>
    <row r="71" spans="1:13" x14ac:dyDescent="0.3">
      <c r="A71">
        <v>12.54</v>
      </c>
      <c r="B71">
        <v>75.84</v>
      </c>
      <c r="J71" s="20" t="s">
        <v>123</v>
      </c>
      <c r="K71" s="20"/>
      <c r="L71" s="20"/>
      <c r="M71" s="20"/>
    </row>
    <row r="72" spans="1:13" x14ac:dyDescent="0.3">
      <c r="A72">
        <v>10.7</v>
      </c>
      <c r="B72">
        <v>75.290000000000006</v>
      </c>
      <c r="J72" s="20"/>
      <c r="K72" s="20"/>
      <c r="L72" s="20"/>
      <c r="M72" s="20"/>
    </row>
    <row r="73" spans="1:13" x14ac:dyDescent="0.3">
      <c r="A73">
        <v>16.64</v>
      </c>
      <c r="B73">
        <v>75.05</v>
      </c>
      <c r="J73" s="20"/>
      <c r="K73" s="20"/>
      <c r="L73" s="20"/>
      <c r="M73" s="20"/>
    </row>
    <row r="74" spans="1:13" x14ac:dyDescent="0.3">
      <c r="A74">
        <v>13.02</v>
      </c>
      <c r="B74">
        <v>73.72</v>
      </c>
      <c r="J74" s="20"/>
      <c r="K74" s="20"/>
      <c r="L74" s="20"/>
      <c r="M74" s="20"/>
    </row>
    <row r="75" spans="1:13" x14ac:dyDescent="0.3">
      <c r="A75">
        <v>16.100000000000001</v>
      </c>
      <c r="B75">
        <v>72.02</v>
      </c>
      <c r="J75" s="20"/>
      <c r="K75" s="20"/>
      <c r="L75" s="20"/>
      <c r="M75" s="20"/>
    </row>
    <row r="76" spans="1:13" x14ac:dyDescent="0.3">
      <c r="A76">
        <v>8.9</v>
      </c>
      <c r="B76">
        <v>70.2</v>
      </c>
    </row>
    <row r="77" spans="1:13" x14ac:dyDescent="0.3">
      <c r="A77">
        <v>4.32</v>
      </c>
      <c r="B77">
        <v>65.28</v>
      </c>
    </row>
    <row r="78" spans="1:13" x14ac:dyDescent="0.3">
      <c r="A78">
        <v>8.4600000000000009</v>
      </c>
      <c r="B78">
        <v>64.56</v>
      </c>
    </row>
    <row r="79" spans="1:13" x14ac:dyDescent="0.3">
      <c r="A79">
        <v>6.78</v>
      </c>
      <c r="B79">
        <v>64.41</v>
      </c>
    </row>
    <row r="80" spans="1:13" x14ac:dyDescent="0.3">
      <c r="A80">
        <v>3.46</v>
      </c>
      <c r="B80">
        <v>59.65</v>
      </c>
    </row>
    <row r="81" spans="1:2" x14ac:dyDescent="0.3">
      <c r="A81">
        <v>8.3800000000000008</v>
      </c>
      <c r="B81">
        <v>58.62</v>
      </c>
    </row>
    <row r="82" spans="1:2" x14ac:dyDescent="0.3">
      <c r="A82">
        <v>3.2</v>
      </c>
      <c r="B82">
        <v>58.61</v>
      </c>
    </row>
    <row r="83" spans="1:2" x14ac:dyDescent="0.3">
      <c r="A83">
        <v>6.7</v>
      </c>
      <c r="B83">
        <v>57.09</v>
      </c>
    </row>
    <row r="84" spans="1:2" x14ac:dyDescent="0.3">
      <c r="A84">
        <v>7.54</v>
      </c>
      <c r="B84">
        <v>54.74</v>
      </c>
    </row>
    <row r="85" spans="1:2" x14ac:dyDescent="0.3">
      <c r="A85">
        <v>3.6</v>
      </c>
      <c r="B85">
        <v>52.78</v>
      </c>
    </row>
    <row r="86" spans="1:2" x14ac:dyDescent="0.3">
      <c r="A86">
        <v>0.72</v>
      </c>
      <c r="B86">
        <v>52.53</v>
      </c>
    </row>
    <row r="87" spans="1:2" x14ac:dyDescent="0.3">
      <c r="A87">
        <v>6.88</v>
      </c>
      <c r="B87">
        <v>49.88</v>
      </c>
    </row>
    <row r="88" spans="1:2" x14ac:dyDescent="0.3">
      <c r="A88">
        <v>0</v>
      </c>
      <c r="B88">
        <v>48.37</v>
      </c>
    </row>
    <row r="89" spans="1:2" x14ac:dyDescent="0.3">
      <c r="A89">
        <v>0.72</v>
      </c>
      <c r="B89">
        <v>47.61</v>
      </c>
    </row>
    <row r="90" spans="1:2" x14ac:dyDescent="0.3">
      <c r="A90">
        <v>0</v>
      </c>
      <c r="B90">
        <v>45.79</v>
      </c>
    </row>
    <row r="91" spans="1:2" x14ac:dyDescent="0.3">
      <c r="A91">
        <v>2.08</v>
      </c>
      <c r="B91">
        <v>44.99</v>
      </c>
    </row>
    <row r="92" spans="1:2" x14ac:dyDescent="0.3">
      <c r="A92">
        <v>0</v>
      </c>
      <c r="B92">
        <v>44.56</v>
      </c>
    </row>
    <row r="93" spans="1:2" x14ac:dyDescent="0.3">
      <c r="A93">
        <v>2.48</v>
      </c>
      <c r="B93">
        <v>42.87</v>
      </c>
    </row>
    <row r="94" spans="1:2" x14ac:dyDescent="0.3">
      <c r="A94">
        <v>0</v>
      </c>
      <c r="B94">
        <v>40.049999999999997</v>
      </c>
    </row>
    <row r="95" spans="1:2" x14ac:dyDescent="0.3">
      <c r="A95">
        <v>0.72</v>
      </c>
      <c r="B95">
        <v>39.64</v>
      </c>
    </row>
    <row r="96" spans="1:2" x14ac:dyDescent="0.3">
      <c r="A96">
        <v>0</v>
      </c>
      <c r="B96">
        <v>34.6</v>
      </c>
    </row>
    <row r="97" spans="1:13" x14ac:dyDescent="0.3">
      <c r="A97">
        <v>0</v>
      </c>
      <c r="B97">
        <v>32.020000000000003</v>
      </c>
    </row>
    <row r="98" spans="1:13" x14ac:dyDescent="0.3">
      <c r="A98">
        <v>0</v>
      </c>
      <c r="B98">
        <v>30.59</v>
      </c>
    </row>
    <row r="99" spans="1:13" x14ac:dyDescent="0.3">
      <c r="A99">
        <v>0</v>
      </c>
      <c r="B99">
        <v>14.7</v>
      </c>
    </row>
    <row r="100" spans="1:13" x14ac:dyDescent="0.3">
      <c r="A100" s="14"/>
      <c r="B100" s="14"/>
    </row>
    <row r="103" spans="1:13" x14ac:dyDescent="0.3">
      <c r="A103" s="15" t="s">
        <v>124</v>
      </c>
      <c r="B103" s="15"/>
      <c r="C103" s="15"/>
      <c r="D103" s="15"/>
      <c r="E103" s="15"/>
      <c r="F103" s="15"/>
      <c r="G103" s="15"/>
      <c r="H103" s="15"/>
    </row>
    <row r="106" spans="1:13" x14ac:dyDescent="0.3">
      <c r="A106" s="8" t="s">
        <v>114</v>
      </c>
      <c r="B106" t="s">
        <v>126</v>
      </c>
      <c r="J106" s="20" t="s">
        <v>125</v>
      </c>
      <c r="K106" s="20"/>
      <c r="L106" s="20"/>
      <c r="M106" s="20"/>
    </row>
    <row r="107" spans="1:13" x14ac:dyDescent="0.3">
      <c r="A107" s="9" t="s">
        <v>72</v>
      </c>
      <c r="B107" s="21">
        <v>13.51</v>
      </c>
      <c r="J107" s="20"/>
      <c r="K107" s="20"/>
      <c r="L107" s="20"/>
      <c r="M107" s="20"/>
    </row>
    <row r="108" spans="1:13" x14ac:dyDescent="0.3">
      <c r="A108" s="9" t="s">
        <v>83</v>
      </c>
      <c r="B108" s="21">
        <v>12.9</v>
      </c>
      <c r="J108" s="20"/>
      <c r="K108" s="20"/>
      <c r="L108" s="20"/>
      <c r="M108" s="20"/>
    </row>
    <row r="109" spans="1:13" x14ac:dyDescent="0.3">
      <c r="A109" s="9" t="s">
        <v>63</v>
      </c>
      <c r="B109" s="21">
        <v>12.82</v>
      </c>
      <c r="J109" s="20"/>
      <c r="K109" s="20"/>
      <c r="L109" s="20"/>
      <c r="M109" s="20"/>
    </row>
    <row r="110" spans="1:13" x14ac:dyDescent="0.3">
      <c r="A110" s="9" t="s">
        <v>98</v>
      </c>
      <c r="B110" s="21">
        <v>8.86</v>
      </c>
      <c r="J110" s="20"/>
      <c r="K110" s="20"/>
      <c r="L110" s="20"/>
      <c r="M110" s="20"/>
    </row>
    <row r="111" spans="1:13" x14ac:dyDescent="0.3">
      <c r="A111" s="9" t="s">
        <v>92</v>
      </c>
      <c r="B111" s="21">
        <v>11.93</v>
      </c>
    </row>
    <row r="112" spans="1:13" x14ac:dyDescent="0.3">
      <c r="A112" s="9" t="s">
        <v>115</v>
      </c>
      <c r="B112" s="21">
        <v>12.004000000000001</v>
      </c>
    </row>
    <row r="126" spans="1:5" x14ac:dyDescent="0.3">
      <c r="A126" s="19" t="s">
        <v>130</v>
      </c>
      <c r="B126" s="19"/>
      <c r="C126" s="19"/>
      <c r="D126" s="19"/>
    </row>
    <row r="128" spans="1:5" x14ac:dyDescent="0.3">
      <c r="A128" s="8" t="s">
        <v>114</v>
      </c>
      <c r="B128" t="s">
        <v>127</v>
      </c>
      <c r="C128" t="s">
        <v>128</v>
      </c>
      <c r="D128" t="s">
        <v>126</v>
      </c>
      <c r="E128" t="s">
        <v>129</v>
      </c>
    </row>
    <row r="129" spans="1:13" x14ac:dyDescent="0.3">
      <c r="A129" s="9" t="s">
        <v>1</v>
      </c>
      <c r="B129" s="21">
        <v>14.164999999999999</v>
      </c>
      <c r="C129" s="21">
        <v>15.782499999999999</v>
      </c>
      <c r="D129" s="21">
        <v>18.327500000000001</v>
      </c>
      <c r="E129" s="21">
        <v>27.12</v>
      </c>
    </row>
    <row r="130" spans="1:13" x14ac:dyDescent="0.3">
      <c r="A130" s="9" t="s">
        <v>2</v>
      </c>
      <c r="B130" s="21">
        <v>0</v>
      </c>
      <c r="C130" s="21">
        <v>3.8</v>
      </c>
      <c r="D130" s="21">
        <v>8.86</v>
      </c>
      <c r="E130" s="21">
        <v>2.04</v>
      </c>
    </row>
    <row r="131" spans="1:13" x14ac:dyDescent="0.3">
      <c r="A131" s="9" t="s">
        <v>3</v>
      </c>
      <c r="B131" s="21">
        <v>1.0733333333333335</v>
      </c>
      <c r="C131" s="21">
        <v>9.7999999999999989</v>
      </c>
      <c r="D131" s="21">
        <v>14.9</v>
      </c>
      <c r="E131" s="21">
        <v>15.973333333333336</v>
      </c>
    </row>
    <row r="132" spans="1:13" x14ac:dyDescent="0.3">
      <c r="A132" s="9" t="s">
        <v>4</v>
      </c>
      <c r="B132" s="21">
        <v>7.0138461538461545</v>
      </c>
      <c r="C132" s="21">
        <v>13.69</v>
      </c>
      <c r="D132" s="21">
        <v>17.48</v>
      </c>
      <c r="E132" s="21">
        <v>23.678461538461541</v>
      </c>
    </row>
    <row r="133" spans="1:13" x14ac:dyDescent="0.3">
      <c r="A133" s="9" t="s">
        <v>115</v>
      </c>
      <c r="B133" s="21">
        <v>5.3573333333333322</v>
      </c>
      <c r="C133" s="21">
        <v>12.083333333333332</v>
      </c>
      <c r="D133" s="21">
        <v>16.273666666666667</v>
      </c>
      <c r="E133" s="21">
        <v>20.334</v>
      </c>
    </row>
    <row r="137" spans="1:13" x14ac:dyDescent="0.3">
      <c r="J137" s="22" t="s">
        <v>131</v>
      </c>
      <c r="K137" s="23"/>
      <c r="L137" s="23"/>
      <c r="M137" s="24"/>
    </row>
    <row r="138" spans="1:13" x14ac:dyDescent="0.3">
      <c r="J138" s="25"/>
      <c r="K138" s="26"/>
      <c r="L138" s="26"/>
      <c r="M138" s="27"/>
    </row>
    <row r="139" spans="1:13" x14ac:dyDescent="0.3">
      <c r="J139" s="25"/>
      <c r="K139" s="26"/>
      <c r="L139" s="26"/>
      <c r="M139" s="27"/>
    </row>
    <row r="140" spans="1:13" x14ac:dyDescent="0.3">
      <c r="J140" s="25"/>
      <c r="K140" s="26"/>
      <c r="L140" s="26"/>
      <c r="M140" s="27"/>
    </row>
    <row r="141" spans="1:13" x14ac:dyDescent="0.3">
      <c r="J141" s="28"/>
      <c r="K141" s="29"/>
      <c r="L141" s="29"/>
      <c r="M141" s="30"/>
    </row>
  </sheetData>
  <mergeCells count="6">
    <mergeCell ref="J137:M141"/>
    <mergeCell ref="L8:O12"/>
    <mergeCell ref="L23:O27"/>
    <mergeCell ref="J51:M55"/>
    <mergeCell ref="J71:M75"/>
    <mergeCell ref="J106:M110"/>
  </mergeCells>
  <conditionalFormatting sqref="L5:AG6">
    <cfRule type="cellIs" dxfId="0" priority="1" operator="equal">
      <formula>"JAWABAN / INSIGHT:"</formula>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4"/>
  <sheetViews>
    <sheetView zoomScaleNormal="100" workbookViewId="0">
      <selection activeCell="J12" sqref="J12"/>
    </sheetView>
  </sheetViews>
  <sheetFormatPr defaultColWidth="8.6640625" defaultRowHeight="14.4" x14ac:dyDescent="0.3"/>
  <cols>
    <col min="1" max="1" width="34" customWidth="1"/>
    <col min="2" max="3" width="12" customWidth="1"/>
    <col min="4" max="4" width="26" customWidth="1"/>
    <col min="5" max="6" width="11" customWidth="1"/>
    <col min="7" max="8" width="9" customWidth="1"/>
    <col min="9" max="10" width="11" customWidth="1"/>
  </cols>
  <sheetData>
    <row r="1" spans="1:10" ht="41.25" customHeight="1" x14ac:dyDescent="0.3">
      <c r="B1" s="2" t="s">
        <v>99</v>
      </c>
      <c r="C1" s="2" t="s">
        <v>100</v>
      </c>
      <c r="D1" s="2" t="s">
        <v>101</v>
      </c>
      <c r="E1" s="2" t="s">
        <v>102</v>
      </c>
      <c r="F1" s="2" t="s">
        <v>103</v>
      </c>
      <c r="G1" s="2" t="s">
        <v>104</v>
      </c>
      <c r="H1" s="2" t="s">
        <v>105</v>
      </c>
      <c r="I1" s="2" t="s">
        <v>106</v>
      </c>
      <c r="J1" s="2" t="s">
        <v>107</v>
      </c>
    </row>
    <row r="2" spans="1:10" ht="15" customHeight="1" x14ac:dyDescent="0.3">
      <c r="A2" s="3" t="s">
        <v>11</v>
      </c>
      <c r="B2" s="4">
        <f>AVERAGE(Data_Mentah!G2:G31)</f>
        <v>20.333999999999996</v>
      </c>
      <c r="C2" s="4">
        <f>MEDIAN(Data_Mentah!G2:G31)</f>
        <v>21.71</v>
      </c>
      <c r="D2" s="4" t="str">
        <f>IFERROR(MODE(Data_Mentah!G2:G31),"Tidak ada modus (semua nilai unik)")</f>
        <v>Tidak ada modus (semua nilai unik)</v>
      </c>
      <c r="E2" s="4">
        <f>STDEV(Data_Mentah!G2:G31)</f>
        <v>6.9654995117562031</v>
      </c>
      <c r="F2" s="4">
        <f>VAR(Data_Mentah!G2:G31)</f>
        <v>48.518183448275899</v>
      </c>
      <c r="G2" s="4">
        <f>MIN(Data_Mentah!G2:G31)</f>
        <v>2.04</v>
      </c>
      <c r="H2" s="4">
        <f>MAX(Data_Mentah!G2:G31)</f>
        <v>31.32</v>
      </c>
      <c r="I2" s="4">
        <f>SKEW(Data_Mentah!G2:G31)</f>
        <v>-0.92290913255953733</v>
      </c>
      <c r="J2" s="4">
        <f>KURT(Data_Mentah!G2:G31)</f>
        <v>0.77943600735234453</v>
      </c>
    </row>
    <row r="3" spans="1:10" ht="15" customHeight="1" x14ac:dyDescent="0.3">
      <c r="A3" s="3" t="s">
        <v>12</v>
      </c>
      <c r="B3" s="4">
        <f>AVERAGE(Data_Mentah!H2:H31)</f>
        <v>16.273666666666664</v>
      </c>
      <c r="C3" s="4">
        <f>MEDIAN(Data_Mentah!H2:H31)</f>
        <v>16.655000000000001</v>
      </c>
      <c r="D3" s="4">
        <f>IFERROR(MODE(Data_Mentah!H2:H31),"Tidak ada modus (semua nilai unik)")</f>
        <v>18.399999999999999</v>
      </c>
      <c r="E3" s="4">
        <f>STDEV(Data_Mentah!H2:H31)</f>
        <v>2.3519419464647267</v>
      </c>
      <c r="F3" s="4">
        <f>VAR(Data_Mentah!H2:H31)</f>
        <v>5.5316309195402873</v>
      </c>
      <c r="G3" s="4">
        <f>MIN(Data_Mentah!H2:H31)</f>
        <v>8.86</v>
      </c>
      <c r="H3" s="4">
        <f>MAX(Data_Mentah!H2:H31)</f>
        <v>19.2</v>
      </c>
      <c r="I3" s="4">
        <f>SKEW(Data_Mentah!H2:H31)</f>
        <v>-1.3980107249349962</v>
      </c>
      <c r="J3" s="4">
        <f>KURT(Data_Mentah!H2:H31)</f>
        <v>2.1465101026558089</v>
      </c>
    </row>
    <row r="4" spans="1:10" ht="15" customHeight="1" x14ac:dyDescent="0.3">
      <c r="A4" s="3" t="s">
        <v>13</v>
      </c>
      <c r="B4" s="4">
        <f>AVERAGE(Data_Mentah!I2:I31)</f>
        <v>12.083333333333334</v>
      </c>
      <c r="C4" s="4">
        <f>MEDIAN(Data_Mentah!I2:I31)</f>
        <v>13.164999999999999</v>
      </c>
      <c r="D4" s="4">
        <f>IFERROR(MODE(Data_Mentah!I2:I31),"Tidak ada modus (semua nilai unik)")</f>
        <v>14.98</v>
      </c>
      <c r="E4" s="4">
        <f>STDEV(Data_Mentah!I2:I31)</f>
        <v>3.5463836201980796</v>
      </c>
      <c r="F4" s="4">
        <f>VAR(Data_Mentah!I2:I31)</f>
        <v>12.576836781609238</v>
      </c>
      <c r="G4" s="4">
        <f>MIN(Data_Mentah!I2:I31)</f>
        <v>3.8</v>
      </c>
      <c r="H4" s="4">
        <f>MAX(Data_Mentah!I2:I31)</f>
        <v>17.850000000000001</v>
      </c>
      <c r="I4" s="4">
        <f>SKEW(Data_Mentah!I2:I31)</f>
        <v>-0.59884392986485591</v>
      </c>
      <c r="J4" s="4">
        <f>KURT(Data_Mentah!I2:I31)</f>
        <v>-0.42059563593816529</v>
      </c>
    </row>
    <row r="5" spans="1:10" ht="15" customHeight="1" x14ac:dyDescent="0.3">
      <c r="A5" s="3" t="s">
        <v>14</v>
      </c>
      <c r="B5" s="4">
        <f>AVERAGE(Data_Mentah!J2:J31)</f>
        <v>5.3573333333333322</v>
      </c>
      <c r="C5" s="4">
        <f>MEDIAN(Data_Mentah!J2:J31)</f>
        <v>3.5300000000000002</v>
      </c>
      <c r="D5" s="4">
        <f>IFERROR(MODE(Data_Mentah!J2:J31),"Tidak ada modus (semua nilai unik)")</f>
        <v>0</v>
      </c>
      <c r="E5" s="4">
        <f>STDEV(Data_Mentah!J2:J31)</f>
        <v>5.5080373457610889</v>
      </c>
      <c r="F5" s="4">
        <f>VAR(Data_Mentah!J2:J31)</f>
        <v>30.338475402298865</v>
      </c>
      <c r="G5" s="4">
        <f>MIN(Data_Mentah!J2:J31)</f>
        <v>0</v>
      </c>
      <c r="H5" s="4">
        <f>MAX(Data_Mentah!J2:J31)</f>
        <v>16.78</v>
      </c>
      <c r="I5" s="4">
        <f>SKEW(Data_Mentah!J2:J31)</f>
        <v>0.80674168464285589</v>
      </c>
      <c r="J5" s="4">
        <f>KURT(Data_Mentah!J2:J31)</f>
        <v>-0.47775066296595714</v>
      </c>
    </row>
    <row r="6" spans="1:10" ht="15" customHeight="1" x14ac:dyDescent="0.3">
      <c r="A6" s="3" t="s">
        <v>15</v>
      </c>
      <c r="B6" s="4">
        <f>AVERAGE(Data_Mentah!K2:K31)</f>
        <v>54.048999999999992</v>
      </c>
      <c r="C6" s="4">
        <f>MEDIAN(Data_Mentah!K2:K31)</f>
        <v>53.760000000000005</v>
      </c>
      <c r="D6" s="4" t="str">
        <f>IFERROR(MODE(Data_Mentah!K2:K31),"Tidak ada modus (semua nilai unik)")</f>
        <v>Tidak ada modus (semua nilai unik)</v>
      </c>
      <c r="E6" s="4">
        <f>STDEV(Data_Mentah!K2:K31)</f>
        <v>15.588435003619489</v>
      </c>
      <c r="F6" s="4">
        <f>VAR(Data_Mentah!K2:K31)</f>
        <v>242.99930586206932</v>
      </c>
      <c r="G6" s="4">
        <f>MIN(Data_Mentah!K2:K31)</f>
        <v>14.7</v>
      </c>
      <c r="H6" s="4">
        <f>MAX(Data_Mentah!K2:K31)</f>
        <v>75.84</v>
      </c>
      <c r="I6" s="4">
        <f>SKEW(Data_Mentah!K2:K31)</f>
        <v>-0.40038661959661076</v>
      </c>
      <c r="J6" s="4">
        <f>KURT(Data_Mentah!K2:K31)</f>
        <v>-0.18080968501762706</v>
      </c>
    </row>
    <row r="8" spans="1:10" ht="15" customHeight="1" x14ac:dyDescent="0.3">
      <c r="A8" s="5" t="s">
        <v>108</v>
      </c>
    </row>
    <row r="9" spans="1:10" ht="54.75" customHeight="1" x14ac:dyDescent="0.3">
      <c r="B9" s="2" t="s">
        <v>11</v>
      </c>
      <c r="C9" s="2" t="s">
        <v>12</v>
      </c>
      <c r="D9" s="2" t="s">
        <v>13</v>
      </c>
      <c r="E9" s="2" t="s">
        <v>14</v>
      </c>
      <c r="F9" s="2" t="s">
        <v>15</v>
      </c>
    </row>
    <row r="10" spans="1:10" ht="15" customHeight="1" x14ac:dyDescent="0.3">
      <c r="A10" s="3" t="s">
        <v>11</v>
      </c>
      <c r="B10" s="6">
        <v>1</v>
      </c>
      <c r="C10" s="6">
        <f>CORREL(Data_Mentah!G2:G31,Data_Mentah!H2:H31)</f>
        <v>0.60694439845841275</v>
      </c>
      <c r="D10" s="6">
        <f>CORREL(Data_Mentah!G2:G31,Data_Mentah!I2:I31)</f>
        <v>0.59926853102349209</v>
      </c>
      <c r="E10" s="6">
        <f>CORREL(Data_Mentah!G2:G31,Data_Mentah!J2:J31)</f>
        <v>0.65130579746619621</v>
      </c>
      <c r="F10" s="6">
        <f>CORREL(Data_Mentah!G2:G31,Data_Mentah!K2:K31)</f>
        <v>0.90487762872836219</v>
      </c>
    </row>
    <row r="11" spans="1:10" ht="15" customHeight="1" x14ac:dyDescent="0.3">
      <c r="A11" s="3" t="s">
        <v>12</v>
      </c>
      <c r="B11" s="6">
        <f>CORREL(Data_Mentah!H2:H31,Data_Mentah!G2:G31)</f>
        <v>0.60694439845841275</v>
      </c>
      <c r="C11" s="6">
        <v>1</v>
      </c>
      <c r="D11" s="6">
        <f>CORREL(Data_Mentah!H2:H31,Data_Mentah!I2:I31)</f>
        <v>0.71303920858371272</v>
      </c>
      <c r="E11" s="6">
        <f>CORREL(Data_Mentah!H2:H31,Data_Mentah!J2:J31)</f>
        <v>0.59517180737296205</v>
      </c>
      <c r="F11" s="6">
        <f>CORREL(Data_Mentah!H2:H31,Data_Mentah!K2:K31)</f>
        <v>0.7945817216585731</v>
      </c>
    </row>
    <row r="12" spans="1:10" ht="15" customHeight="1" x14ac:dyDescent="0.3">
      <c r="A12" s="3" t="s">
        <v>13</v>
      </c>
      <c r="B12" s="6">
        <f>CORREL(Data_Mentah!I2:I31,Data_Mentah!G2:G31)</f>
        <v>0.59926853102349209</v>
      </c>
      <c r="C12" s="6">
        <f>CORREL(Data_Mentah!I2:I31,Data_Mentah!H2:H31)</f>
        <v>0.71303920858371272</v>
      </c>
      <c r="D12" s="6">
        <v>1</v>
      </c>
      <c r="E12" s="6">
        <f>CORREL(Data_Mentah!I2:I31,Data_Mentah!J2:J31)</f>
        <v>0.49274790681463809</v>
      </c>
      <c r="F12" s="6">
        <f>CORREL(Data_Mentah!I2:I31,Data_Mentah!K2:K31)</f>
        <v>0.77693721132639659</v>
      </c>
    </row>
    <row r="13" spans="1:10" ht="15" customHeight="1" x14ac:dyDescent="0.3">
      <c r="A13" s="3" t="s">
        <v>14</v>
      </c>
      <c r="B13" s="6">
        <f>CORREL(Data_Mentah!J2:J31,Data_Mentah!G2:G31)</f>
        <v>0.65130579746619621</v>
      </c>
      <c r="C13" s="6">
        <f>CORREL(Data_Mentah!J2:J31,Data_Mentah!H2:H31)</f>
        <v>0.59517180737296205</v>
      </c>
      <c r="D13" s="6">
        <f>CORREL(Data_Mentah!J2:J31,Data_Mentah!I2:I31)</f>
        <v>0.49274790681463809</v>
      </c>
      <c r="E13" s="6">
        <v>1</v>
      </c>
      <c r="F13" s="6">
        <f>CORREL(Data_Mentah!J2:J31,Data_Mentah!K2:K31)</f>
        <v>0.84629157153030432</v>
      </c>
    </row>
    <row r="14" spans="1:10" ht="15" customHeight="1" x14ac:dyDescent="0.3">
      <c r="A14" s="3" t="s">
        <v>15</v>
      </c>
      <c r="B14" s="6">
        <f>CORREL(Data_Mentah!K2:K31,Data_Mentah!G2:G31)</f>
        <v>0.90487762872836219</v>
      </c>
      <c r="C14" s="6">
        <f>CORREL(Data_Mentah!K2:K31,Data_Mentah!H2:H31)</f>
        <v>0.7945817216585731</v>
      </c>
      <c r="D14" s="6">
        <f>CORREL(Data_Mentah!K2:K31,Data_Mentah!I2:I31)</f>
        <v>0.77693721132639659</v>
      </c>
      <c r="E14" s="6">
        <f>CORREL(Data_Mentah!K2:K31,Data_Mentah!J2:J31)</f>
        <v>0.84629157153030432</v>
      </c>
      <c r="F14" s="6">
        <v>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Data_Mentah</vt:lpstr>
      <vt:lpstr>Pertanyaan &amp; Jawaban (Insight)</vt:lpstr>
      <vt:lpstr>Statistik Dasar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lucky chairul fahsya</cp:lastModifiedBy>
  <cp:revision>10</cp:revision>
  <dcterms:created xsi:type="dcterms:W3CDTF">2026-09-10T06:19:14Z</dcterms:created>
  <dcterms:modified xsi:type="dcterms:W3CDTF">2026-09-12T05:58:08Z</dcterms:modified>
  <dc:language>en-US</dc:language>
</cp:coreProperties>
</file>