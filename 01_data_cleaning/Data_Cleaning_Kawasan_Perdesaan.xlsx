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Cleaning_Assessment" sheetId="1" state="visible" r:id="rId3"/>
    <sheet name="Statistik_Deskriptif" sheetId="2" state="visible" r:id="rId4"/>
    <sheet name="Data_Relationshi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<sst xmlns="http://schemas.openxmlformats.org/spreadsheetml/2006/main" count="211" uniqueCount="135">
  <si>
    <t xml:space="preserve">No</t>
  </si>
  <si>
    <t xml:space="preserve">ID Prov</t>
  </si>
  <si>
    <t xml:space="preserve">Provinsi</t>
  </si>
  <si>
    <t xml:space="preserve">ID KAB</t>
  </si>
  <si>
    <t xml:space="preserve">Kabupaten</t>
  </si>
  <si>
    <t xml:space="preserve">Nama Kawasan</t>
  </si>
  <si>
    <t xml:space="preserve">Dimensi Manajemen dan Tata Kelola</t>
  </si>
  <si>
    <t xml:space="preserve">Dimensi Sarana dan Prasaran</t>
  </si>
  <si>
    <t xml:space="preserve">Dimensi Interaksi Kawasan</t>
  </si>
  <si>
    <t xml:space="preserve">Dimensi Aktivitas Ekonomi</t>
  </si>
  <si>
    <t xml:space="preserve">Total Nilai</t>
  </si>
  <si>
    <t xml:space="preserve">Status</t>
  </si>
  <si>
    <t xml:space="preserve">Catatan_Cleaning</t>
  </si>
  <si>
    <t xml:space="preserve">RINGKASAN ASSESSING DATA (6 Kategori Masalah)</t>
  </si>
  <si>
    <t xml:space="preserve">Jawa Tengah</t>
  </si>
  <si>
    <t xml:space="preserve">Karanganyar</t>
  </si>
  <si>
    <t xml:space="preserve">Kawasan Perdesaan Agrowisata Ngargoyoso</t>
  </si>
  <si>
    <t xml:space="preserve">Berdaya Saing</t>
  </si>
  <si>
    <t xml:space="preserve">Data Valid, tidak ada missing/invalid value.</t>
  </si>
  <si>
    <t xml:space="preserve">Kategori Masalah</t>
  </si>
  <si>
    <t xml:space="preserve">Metode Pengecekan</t>
  </si>
  <si>
    <t xml:space="preserve">Hasil (Formula)</t>
  </si>
  <si>
    <t xml:space="preserve">Kesimpulan</t>
  </si>
  <si>
    <t xml:space="preserve">Kalimantan Selatan</t>
  </si>
  <si>
    <t xml:space="preserve">Tanah Bumbu</t>
  </si>
  <si>
    <t xml:space="preserve">Kawasan Perdesaan Agropolitan Tanah Bumbu</t>
  </si>
  <si>
    <t xml:space="preserve">Missing Value</t>
  </si>
  <si>
    <t xml:space="preserve">Menghitung sel kosong pada seluruh kolom numerik (kolom G:K, 30 baris data)</t>
  </si>
  <si>
    <t xml:space="preserve">Wonosobo</t>
  </si>
  <si>
    <t xml:space="preserve">Kawasan Perdesaan Margomarem</t>
  </si>
  <si>
    <t xml:space="preserve">Duplicate Data</t>
  </si>
  <si>
    <t xml:space="preserve">Mengecek apakah ada ID Kabupaten (kolom D) yang muncul lebih dari satu kali</t>
  </si>
  <si>
    <t xml:space="preserve">Bali</t>
  </si>
  <si>
    <t xml:space="preserve">Tabanan</t>
  </si>
  <si>
    <t xml:space="preserve">Kawasan Perdesaan Shiny Tabanan Yang Alami, Berbudaya, Dan Berkedaulatan Pangan</t>
  </si>
  <si>
    <t xml:space="preserve">Invalid Value</t>
  </si>
  <si>
    <t xml:space="preserve">Mengecek nilai negatif pada kolom skor dimensi &amp; Total Nilai (skor seharusnya ≥ 0)</t>
  </si>
  <si>
    <t xml:space="preserve">Sumatera Utara</t>
  </si>
  <si>
    <t xml:space="preserve">Toba</t>
  </si>
  <si>
    <t xml:space="preserve">Kawasan Perdesaan Ajibata</t>
  </si>
  <si>
    <t xml:space="preserve">Mandiri</t>
  </si>
  <si>
    <t xml:space="preserve">Inconsistent Value</t>
  </si>
  <si>
    <t xml:space="preserve">Membandingkan Total Nilai (kolom K) dengan penjumlahan 4 kolom dimensi (G+H+I+J)</t>
  </si>
  <si>
    <t xml:space="preserve">Jawa Barat</t>
  </si>
  <si>
    <t xml:space="preserve">Garut</t>
  </si>
  <si>
    <t xml:space="preserve">Kawasan Perdesaan Industri Bambu Kreatif Selaawi</t>
  </si>
  <si>
    <t xml:space="preserve">Outlier</t>
  </si>
  <si>
    <t xml:space="preserve">Metode IQR (1.5×IQR) pada tiap kolom skor; detail per kolom ada di sheet Statistik_Deskriptif (kolom N)</t>
  </si>
  <si>
    <t xml:space="preserve">Jambi</t>
  </si>
  <si>
    <t xml:space="preserve">Tebo</t>
  </si>
  <si>
    <t xml:space="preserve">Kawasan Perdesaan Mina-agro-wisata</t>
  </si>
  <si>
    <t xml:space="preserve">Inaccurate Value</t>
  </si>
  <si>
    <t xml:space="preserve">Tidak ada data pembanding eksternal (ground truth), sehingga dicek dengan logika: skor dimensi &amp; Total Nilai harus dalam rentang wajar (≥0 dan Total ≈ jumlah dimensi, lihat baris Inconsistent Value)</t>
  </si>
  <si>
    <t xml:space="preserve">-</t>
  </si>
  <si>
    <t xml:space="preserve">Tidak ditemukan indikasi nilai tidak akurat berdasarkan pengecekan logis di atas</t>
  </si>
  <si>
    <t xml:space="preserve">Kalimantan Barat</t>
  </si>
  <si>
    <t xml:space="preserve">Kubu Raya</t>
  </si>
  <si>
    <t xml:space="preserve">Kawasan Perdesaan Pertanian Terpadu Sungai Kakap</t>
  </si>
  <si>
    <t xml:space="preserve">Sumatera Barat</t>
  </si>
  <si>
    <t xml:space="preserve">Agam</t>
  </si>
  <si>
    <t xml:space="preserve">Kawasan Perdesaan Agribisnis Pamako</t>
  </si>
  <si>
    <t xml:space="preserve">Catatan: Dari 6 kategori, 5 kategori tidak menemukan masalah signifikan. Hanya kategori Outlier yang menemukan 1 kawasan ekstrem (Misool), namun setelah diverifikasi nilainya valid sehingga TIDAK dilakukan dropping/imputation/interpolation - data dipertahankan apa adanya. Detail keputusan ada di kolom Catatan_Cleaning baris terkait.</t>
  </si>
  <si>
    <t xml:space="preserve">Tabalong</t>
  </si>
  <si>
    <t xml:space="preserve">Kawasan Perdesaan Agrowisata Hortikultura</t>
  </si>
  <si>
    <t xml:space="preserve">Bengkulu</t>
  </si>
  <si>
    <t xml:space="preserve">Bengkulu Selatan</t>
  </si>
  <si>
    <t xml:space="preserve">Kawasan Food Estate Berbasis Korporasi Petani</t>
  </si>
  <si>
    <t xml:space="preserve">Kendal</t>
  </si>
  <si>
    <t xml:space="preserve">Kawasan Perdesaan Plasma Petik Sari</t>
  </si>
  <si>
    <t xml:space="preserve">Banjar</t>
  </si>
  <si>
    <t xml:space="preserve">Kawasan Perdesaan Agrominapolitan Banjar</t>
  </si>
  <si>
    <t xml:space="preserve">Bandung Barat</t>
  </si>
  <si>
    <t xml:space="preserve">Kawasan Perdesaan Berbasis Wisata Artefak Gua Pawon dan Geo-wisata</t>
  </si>
  <si>
    <t xml:space="preserve">Klungkung</t>
  </si>
  <si>
    <t xml:space="preserve">Kawasan Perdesaan Pariwisata Nusa Penida</t>
  </si>
  <si>
    <t xml:space="preserve">Aceh</t>
  </si>
  <si>
    <t xml:space="preserve">Nagan Raya</t>
  </si>
  <si>
    <t xml:space="preserve">Kawasan Perdesaan Budidaya Perikanan Air Tawar Terpadu</t>
  </si>
  <si>
    <t xml:space="preserve">Kepulauan Bangka Belitung</t>
  </si>
  <si>
    <t xml:space="preserve">Belitung Timur</t>
  </si>
  <si>
    <t xml:space="preserve">Kawasan Perdesaan Andalan Menuju Pengembangan Inovasi Terpadu (KAMPIT)</t>
  </si>
  <si>
    <t xml:space="preserve">Jawa Timur</t>
  </si>
  <si>
    <t xml:space="preserve">Mojokerto</t>
  </si>
  <si>
    <t xml:space="preserve">Kawasan Perdesaan Agrowisata Pertanian Terpadu Kecamatan Gondang</t>
  </si>
  <si>
    <t xml:space="preserve">Konsolidasi</t>
  </si>
  <si>
    <t xml:space="preserve">Maluku</t>
  </si>
  <si>
    <t xml:space="preserve">Buru</t>
  </si>
  <si>
    <t xml:space="preserve">Kawasan Perdesaan Agropolitan Berbasis Komoditas Unggulan Padi Waeapo</t>
  </si>
  <si>
    <t xml:space="preserve">Sulawesi Selatan</t>
  </si>
  <si>
    <t xml:space="preserve">Barru</t>
  </si>
  <si>
    <t xml:space="preserve">Kawasan Perdesaan Agrowisata Gurilla</t>
  </si>
  <si>
    <t xml:space="preserve">Banten</t>
  </si>
  <si>
    <t xml:space="preserve">Serang</t>
  </si>
  <si>
    <t xml:space="preserve">Kawasan Perdesaan Agromina Wisata</t>
  </si>
  <si>
    <t xml:space="preserve">Sulawesi Tengah</t>
  </si>
  <si>
    <t xml:space="preserve">Morowali</t>
  </si>
  <si>
    <t xml:space="preserve">Kawasan Perdesaan Sentra Minapolitan Salabangka</t>
  </si>
  <si>
    <t xml:space="preserve">Nusa Tenggara Barat</t>
  </si>
  <si>
    <t xml:space="preserve">Lombok Timur</t>
  </si>
  <si>
    <t xml:space="preserve">Kawasan Perdesaan Sembalun</t>
  </si>
  <si>
    <t xml:space="preserve">Sukabumi</t>
  </si>
  <si>
    <t xml:space="preserve">Kawasan Perdesaan Agrowisata Citaman Sakti</t>
  </si>
  <si>
    <t xml:space="preserve">Maluku Utara</t>
  </si>
  <si>
    <t xml:space="preserve">Halmahera Barat</t>
  </si>
  <si>
    <t xml:space="preserve">Kawasan Perdesaan Agropolitan Sahu Timur</t>
  </si>
  <si>
    <t xml:space="preserve">Sulawesi Utara</t>
  </si>
  <si>
    <t xml:space="preserve">Minahasa</t>
  </si>
  <si>
    <t xml:space="preserve">Kawasan Perdesaan Mapalus</t>
  </si>
  <si>
    <t xml:space="preserve">Kalimantan Timur</t>
  </si>
  <si>
    <t xml:space="preserve">Kutai Kartanegara</t>
  </si>
  <si>
    <t xml:space="preserve">Kawasan Perdesaan Agroekowisata</t>
  </si>
  <si>
    <t xml:space="preserve">Papua Selatan</t>
  </si>
  <si>
    <t xml:space="preserve">Merauke</t>
  </si>
  <si>
    <t xml:space="preserve">Kawasan Perdesaan Penyangga Pangan Berkelanjutan Merauke</t>
  </si>
  <si>
    <t xml:space="preserve">Nusa Tenggara Timur</t>
  </si>
  <si>
    <t xml:space="preserve">Ngada</t>
  </si>
  <si>
    <t xml:space="preserve">Kawasan Perdesaan Agrowisata Kopi Flores Bajawa</t>
  </si>
  <si>
    <t xml:space="preserve">Papua Barat Daya</t>
  </si>
  <si>
    <t xml:space="preserve">Raja Ampat</t>
  </si>
  <si>
    <t xml:space="preserve">Kawasan Perdesaan Misool</t>
  </si>
  <si>
    <t xml:space="preserve">Inisiasi</t>
  </si>
  <si>
    <t xml:space="preserve">Teridentifikasi sebagai OUTLIER (metode IQR) pada dimensi Manajemen (2.04) &amp; Sarana (8.86) - jauh di bawah kawasan lain. Sudah diverifikasi valid &amp; konsisten (Total = jumlah dimensi), bukan kesalahan input. Keputusan: TETAP DIPERTAHANKAN (tidak di-drop) karena mencerminkan kondisi riil kawasan tahap Inisiasi, lihat Ringkasan Assessing Data.</t>
  </si>
  <si>
    <t xml:space="preserve">Mean (Central Tendency)</t>
  </si>
  <si>
    <t xml:space="preserve">Median (Central Tendency)</t>
  </si>
  <si>
    <t xml:space="preserve">Mode (Central Tendency)</t>
  </si>
  <si>
    <t xml:space="preserve">Std Dev (Dispersion)</t>
  </si>
  <si>
    <t xml:space="preserve">Variance (Dispersion)</t>
  </si>
  <si>
    <t xml:space="preserve">Min (Dispersion)</t>
  </si>
  <si>
    <t xml:space="preserve">Max (Dispersion)</t>
  </si>
  <si>
    <t xml:space="preserve">Range (Dispersion)</t>
  </si>
  <si>
    <t xml:space="preserve">Skewness (Asymmetric)</t>
  </si>
  <si>
    <t xml:space="preserve">Kurtosis (Asymmetric)</t>
  </si>
  <si>
    <t xml:space="preserve">Batas Bawah Outlier (Q1-1.5*IQR)</t>
  </si>
  <si>
    <t xml:space="preserve">Batas Atas Outlier (Q3+1.5*IQR)</t>
  </si>
  <si>
    <t xml:space="preserve">Jumlah Outlier (Metode IQR)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</si>
</sst>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"/>
    <numFmt numFmtId="168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5" style="1" width="20"/>
    <col collapsed="false" customWidth="true" hidden="false" outlineLevel="0" max="16" min="16" style="1" width="42"/>
    <col collapsed="false" customWidth="true" hidden="false" outlineLevel="0" max="17" min="17" style="1" width="14"/>
    <col collapsed="false" customWidth="true" hidden="false" outlineLevel="0" max="18" min="18" style="1" width="34"/>
    <col collapsed="false" customWidth="true" hidden="false" outlineLevel="0" max="19" min="19" style="1" width="6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O1" s="3" t="s">
        <v>13</v>
      </c>
      <c r="P1" s="3"/>
      <c r="Q1" s="3"/>
      <c r="R1" s="3"/>
      <c r="S1" s="3"/>
    </row>
    <row r="2" customFormat="false" ht="15" hidden="false" customHeight="true" outlineLevel="0" collapsed="false">
      <c r="A2" s="1" t="n">
        <v>1</v>
      </c>
      <c r="B2" s="1" t="n">
        <v>33</v>
      </c>
      <c r="C2" s="1" t="s">
        <v>14</v>
      </c>
      <c r="D2" s="1" t="n">
        <v>3313</v>
      </c>
      <c r="E2" s="1" t="s">
        <v>15</v>
      </c>
      <c r="F2" s="1" t="s">
        <v>16</v>
      </c>
      <c r="G2" s="1" t="n">
        <v>25.8</v>
      </c>
      <c r="H2" s="1" t="n">
        <v>18.4</v>
      </c>
      <c r="I2" s="1" t="n">
        <v>14.43</v>
      </c>
      <c r="J2" s="1" t="n">
        <v>16.78</v>
      </c>
      <c r="K2" s="1" t="n">
        <v>75.41</v>
      </c>
      <c r="L2" s="1" t="s">
        <v>17</v>
      </c>
      <c r="M2" s="1" t="s">
        <v>18</v>
      </c>
      <c r="O2" s="4" t="s">
        <v>19</v>
      </c>
      <c r="P2" s="4" t="s">
        <v>20</v>
      </c>
      <c r="Q2" s="4" t="s">
        <v>21</v>
      </c>
      <c r="R2" s="4" t="s">
        <v>22</v>
      </c>
    </row>
    <row r="3" customFormat="false" ht="33.75" hidden="false" customHeight="true" outlineLevel="0" collapsed="false">
      <c r="A3" s="1" t="n">
        <v>2</v>
      </c>
      <c r="B3" s="1" t="n">
        <v>63</v>
      </c>
      <c r="C3" s="1" t="s">
        <v>23</v>
      </c>
      <c r="D3" s="1" t="n">
        <v>6310</v>
      </c>
      <c r="E3" s="1" t="s">
        <v>24</v>
      </c>
      <c r="F3" s="1" t="s">
        <v>25</v>
      </c>
      <c r="G3" s="1" t="n">
        <v>28.46</v>
      </c>
      <c r="H3" s="1" t="n">
        <v>17.71</v>
      </c>
      <c r="I3" s="1" t="n">
        <v>17.13</v>
      </c>
      <c r="J3" s="1" t="n">
        <v>12.54</v>
      </c>
      <c r="K3" s="1" t="n">
        <v>75.84</v>
      </c>
      <c r="L3" s="1" t="s">
        <v>17</v>
      </c>
      <c r="M3" s="1" t="s">
        <v>18</v>
      </c>
      <c r="O3" s="5" t="s">
        <v>26</v>
      </c>
      <c r="P3" s="6" t="s">
        <v>27</v>
      </c>
      <c r="Q3" s="7" t="n">
        <f aca="false">COUNTBLANK(G2:K31)</f>
        <v>0</v>
      </c>
      <c r="R3" s="6" t="str">
        <f aca="false">IF(Q3=0,"Tidak ditemukan masalah (0)","Ditemukan "&amp;Q3&amp;" kasus - perlu ditindaklanjuti")</f>
        <v>Tidak ditemukan masalah (0)</v>
      </c>
    </row>
    <row r="4" customFormat="false" ht="33.75" hidden="false" customHeight="true" outlineLevel="0" collapsed="false">
      <c r="A4" s="1" t="n">
        <v>3</v>
      </c>
      <c r="B4" s="1" t="n">
        <v>33</v>
      </c>
      <c r="C4" s="1" t="s">
        <v>14</v>
      </c>
      <c r="D4" s="1" t="n">
        <v>3307</v>
      </c>
      <c r="E4" s="1" t="s">
        <v>28</v>
      </c>
      <c r="F4" s="1" t="s">
        <v>29</v>
      </c>
      <c r="G4" s="1" t="n">
        <v>28.34</v>
      </c>
      <c r="H4" s="1" t="n">
        <v>18.4</v>
      </c>
      <c r="I4" s="1" t="n">
        <v>17.85</v>
      </c>
      <c r="J4" s="1" t="n">
        <v>10.7</v>
      </c>
      <c r="K4" s="1" t="n">
        <v>75.29</v>
      </c>
      <c r="L4" s="1" t="s">
        <v>17</v>
      </c>
      <c r="M4" s="1" t="s">
        <v>18</v>
      </c>
      <c r="O4" s="5" t="s">
        <v>30</v>
      </c>
      <c r="P4" s="6" t="s">
        <v>31</v>
      </c>
      <c r="Q4" s="7" t="n">
        <f aca="false">SUMPRODUCT((COUNTIF(D2:D31,D2:D31)&gt;1)*1)</f>
        <v>0</v>
      </c>
      <c r="R4" s="6" t="str">
        <f aca="false">IF(Q4=0,"Tidak ditemukan masalah (0)","Ditemukan "&amp;Q4&amp;" kasus - perlu ditindaklanjuti")</f>
        <v>Tidak ditemukan masalah (0)</v>
      </c>
    </row>
    <row r="5" customFormat="false" ht="33.75" hidden="false" customHeight="true" outlineLevel="0" collapsed="false">
      <c r="A5" s="1" t="n">
        <v>4</v>
      </c>
      <c r="B5" s="1" t="n">
        <v>51</v>
      </c>
      <c r="C5" s="1" t="s">
        <v>32</v>
      </c>
      <c r="D5" s="1" t="n">
        <v>5102</v>
      </c>
      <c r="E5" s="1" t="s">
        <v>33</v>
      </c>
      <c r="F5" s="1" t="s">
        <v>34</v>
      </c>
      <c r="G5" s="1" t="n">
        <v>25.88</v>
      </c>
      <c r="H5" s="1" t="n">
        <v>18.8</v>
      </c>
      <c r="I5" s="1" t="n">
        <v>13.72</v>
      </c>
      <c r="J5" s="1" t="n">
        <v>16.64</v>
      </c>
      <c r="K5" s="1" t="n">
        <v>75.05</v>
      </c>
      <c r="L5" s="1" t="s">
        <v>17</v>
      </c>
      <c r="M5" s="1" t="s">
        <v>18</v>
      </c>
      <c r="O5" s="5" t="s">
        <v>35</v>
      </c>
      <c r="P5" s="6" t="s">
        <v>36</v>
      </c>
      <c r="Q5" s="7" t="n">
        <f aca="false">SUMPRODUCT((G2:K31&lt;0)*1)</f>
        <v>0</v>
      </c>
      <c r="R5" s="6" t="str">
        <f aca="false">IF(Q5=0,"Tidak ditemukan masalah (0)","Ditemukan "&amp;Q5&amp;" kasus - perlu ditindaklanjuti")</f>
        <v>Tidak ditemukan masalah (0)</v>
      </c>
    </row>
    <row r="6" customFormat="false" ht="33.75" hidden="false" customHeight="true" outlineLevel="0" collapsed="false">
      <c r="A6" s="1" t="n">
        <v>5</v>
      </c>
      <c r="B6" s="1" t="n">
        <v>12</v>
      </c>
      <c r="C6" s="1" t="s">
        <v>37</v>
      </c>
      <c r="D6" s="1" t="n">
        <v>1212</v>
      </c>
      <c r="E6" s="1" t="s">
        <v>38</v>
      </c>
      <c r="F6" s="1" t="s">
        <v>39</v>
      </c>
      <c r="G6" s="1" t="n">
        <v>27.4</v>
      </c>
      <c r="H6" s="1" t="n">
        <v>17.6</v>
      </c>
      <c r="I6" s="1" t="n">
        <v>15.7</v>
      </c>
      <c r="J6" s="1" t="n">
        <v>13.02</v>
      </c>
      <c r="K6" s="1" t="n">
        <v>73.72</v>
      </c>
      <c r="L6" s="1" t="s">
        <v>40</v>
      </c>
      <c r="M6" s="1" t="s">
        <v>18</v>
      </c>
      <c r="O6" s="5" t="s">
        <v>41</v>
      </c>
      <c r="P6" s="6" t="s">
        <v>42</v>
      </c>
      <c r="Q6" s="7" t="n">
        <f aca="false">SUMPRODUCT((ABS(K2:K31-(G2:G31+H2:H31+I2:I31+J2:J31))&gt;0.02)*1)</f>
        <v>0</v>
      </c>
      <c r="R6" s="6" t="str">
        <f aca="false">IF(Q6=0,"Tidak ditemukan masalah (0) - selisih kecil ≤0.02 pada 2 baris murni akibat pembulatan tiap dimensi ke 2 desimal, bukan kesalahan data","Ditemukan "&amp;Q6&amp;" kasus - perlu ditindaklanjuti")</f>
        <v>Tidak ditemukan masalah (0) - selisih kecil ≤0.02 pada 2 baris murni akibat pembulatan tiap dimensi ke 2 desimal, bukan kesalahan data</v>
      </c>
    </row>
    <row r="7" customFormat="false" ht="33.75" hidden="false" customHeight="true" outlineLevel="0" collapsed="false">
      <c r="A7" s="1" t="n">
        <v>6</v>
      </c>
      <c r="B7" s="1" t="n">
        <v>32</v>
      </c>
      <c r="C7" s="1" t="s">
        <v>43</v>
      </c>
      <c r="D7" s="1" t="n">
        <v>3205</v>
      </c>
      <c r="E7" s="1" t="s">
        <v>44</v>
      </c>
      <c r="F7" s="1" t="s">
        <v>45</v>
      </c>
      <c r="G7" s="1" t="n">
        <v>23.8</v>
      </c>
      <c r="H7" s="1" t="n">
        <v>18.4</v>
      </c>
      <c r="I7" s="1" t="n">
        <v>13.72</v>
      </c>
      <c r="J7" s="1" t="n">
        <v>16.1</v>
      </c>
      <c r="K7" s="1" t="n">
        <v>72.02</v>
      </c>
      <c r="L7" s="1" t="s">
        <v>40</v>
      </c>
      <c r="M7" s="1" t="s">
        <v>18</v>
      </c>
      <c r="O7" s="5" t="s">
        <v>46</v>
      </c>
      <c r="P7" s="6" t="s">
        <v>47</v>
      </c>
      <c r="Q7" s="7" t="n">
        <f aca="false">Statistik_Deskriptif!N2+Statistik_Deskriptif!N3+Statistik_Deskriptif!N4+Statistik_Deskriptif!N5+Statistik_Deskriptif!N6</f>
        <v>2</v>
      </c>
      <c r="R7" s="6" t="str">
        <f aca="false">"Ditemukan 1 kawasan (Kawasan Perdesaan Misool) sebagai outlier pada "&amp;Q7&amp;" dimensi (Manajemen &amp; Sarana) - skor jauh lebih rendah dari kawasan lain. Nilai diverifikasi valid (bukan salah input), sehingga TIDAK di-drop; kawasan ini memang berstatus tahap Inisiasi (paling awal)."</f>
        <v>Ditemukan 1 kawasan (Kawasan Perdesaan Misool) sebagai outlier pada 2 dimensi (Manajemen &amp; Sarana) - skor jauh lebih rendah dari kawasan lain. Nilai diverifikasi valid (bukan salah input), sehingga TIDAK di-drop; kawasan ini memang berstatus tahap Inisiasi (paling awal).</v>
      </c>
    </row>
    <row r="8" customFormat="false" ht="33.75" hidden="false" customHeight="true" outlineLevel="0" collapsed="false">
      <c r="A8" s="1" t="n">
        <v>7</v>
      </c>
      <c r="B8" s="1" t="n">
        <v>15</v>
      </c>
      <c r="C8" s="1" t="s">
        <v>48</v>
      </c>
      <c r="D8" s="1" t="n">
        <v>1509</v>
      </c>
      <c r="E8" s="1" t="s">
        <v>49</v>
      </c>
      <c r="F8" s="1" t="s">
        <v>50</v>
      </c>
      <c r="G8" s="1" t="n">
        <v>31.32</v>
      </c>
      <c r="H8" s="1" t="n">
        <v>17.2</v>
      </c>
      <c r="I8" s="1" t="n">
        <v>12.78</v>
      </c>
      <c r="J8" s="1" t="n">
        <v>8.9</v>
      </c>
      <c r="K8" s="1" t="n">
        <v>70.2</v>
      </c>
      <c r="L8" s="1" t="s">
        <v>40</v>
      </c>
      <c r="M8" s="1" t="s">
        <v>18</v>
      </c>
      <c r="O8" s="5" t="s">
        <v>51</v>
      </c>
      <c r="P8" s="6" t="s">
        <v>52</v>
      </c>
      <c r="Q8" s="7" t="s">
        <v>53</v>
      </c>
      <c r="R8" s="6" t="s">
        <v>54</v>
      </c>
    </row>
    <row r="9" customFormat="false" ht="15" hidden="false" customHeight="true" outlineLevel="0" collapsed="false">
      <c r="A9" s="1" t="n">
        <v>8</v>
      </c>
      <c r="B9" s="1" t="n">
        <v>61</v>
      </c>
      <c r="C9" s="1" t="s">
        <v>55</v>
      </c>
      <c r="D9" s="1" t="n">
        <v>6112</v>
      </c>
      <c r="E9" s="1" t="s">
        <v>56</v>
      </c>
      <c r="F9" s="1" t="s">
        <v>57</v>
      </c>
      <c r="G9" s="1" t="n">
        <v>27.58</v>
      </c>
      <c r="H9" s="1" t="n">
        <v>18.4</v>
      </c>
      <c r="I9" s="1" t="n">
        <v>14.98</v>
      </c>
      <c r="J9" s="1" t="n">
        <v>4.32</v>
      </c>
      <c r="K9" s="1" t="n">
        <v>65.28</v>
      </c>
      <c r="L9" s="1" t="s">
        <v>40</v>
      </c>
      <c r="M9" s="1" t="s">
        <v>18</v>
      </c>
    </row>
    <row r="10" customFormat="false" ht="15" hidden="false" customHeight="true" outlineLevel="0" collapsed="false">
      <c r="A10" s="1" t="n">
        <v>9</v>
      </c>
      <c r="B10" s="1" t="n">
        <v>13</v>
      </c>
      <c r="C10" s="1" t="s">
        <v>58</v>
      </c>
      <c r="D10" s="1" t="n">
        <v>1306</v>
      </c>
      <c r="E10" s="1" t="s">
        <v>59</v>
      </c>
      <c r="F10" s="1" t="s">
        <v>60</v>
      </c>
      <c r="G10" s="1" t="n">
        <v>23.12</v>
      </c>
      <c r="H10" s="1" t="n">
        <v>18</v>
      </c>
      <c r="I10" s="1" t="n">
        <v>14.98</v>
      </c>
      <c r="J10" s="1" t="n">
        <v>8.46</v>
      </c>
      <c r="K10" s="1" t="n">
        <v>64.56</v>
      </c>
      <c r="L10" s="1" t="s">
        <v>40</v>
      </c>
      <c r="M10" s="1" t="s">
        <v>18</v>
      </c>
      <c r="O10" s="8" t="s">
        <v>61</v>
      </c>
      <c r="P10" s="8"/>
      <c r="Q10" s="8"/>
      <c r="R10" s="8"/>
      <c r="S10" s="8"/>
    </row>
    <row r="11" customFormat="false" ht="15" hidden="false" customHeight="true" outlineLevel="0" collapsed="false">
      <c r="A11" s="1" t="n">
        <v>10</v>
      </c>
      <c r="B11" s="1" t="n">
        <v>63</v>
      </c>
      <c r="C11" s="1" t="s">
        <v>23</v>
      </c>
      <c r="D11" s="1" t="n">
        <v>6309</v>
      </c>
      <c r="E11" s="1" t="s">
        <v>62</v>
      </c>
      <c r="F11" s="1" t="s">
        <v>63</v>
      </c>
      <c r="G11" s="1" t="n">
        <v>26.14</v>
      </c>
      <c r="H11" s="1" t="n">
        <v>16.51</v>
      </c>
      <c r="I11" s="1" t="n">
        <v>14.98</v>
      </c>
      <c r="J11" s="1" t="n">
        <v>6.78</v>
      </c>
      <c r="K11" s="1" t="n">
        <v>64.41</v>
      </c>
      <c r="L11" s="1" t="s">
        <v>40</v>
      </c>
      <c r="M11" s="1" t="s">
        <v>18</v>
      </c>
      <c r="O11" s="8"/>
      <c r="P11" s="8"/>
      <c r="Q11" s="8"/>
      <c r="R11" s="8"/>
      <c r="S11" s="8"/>
    </row>
    <row r="12" customFormat="false" ht="15" hidden="false" customHeight="true" outlineLevel="0" collapsed="false">
      <c r="A12" s="1" t="n">
        <v>11</v>
      </c>
      <c r="B12" s="1" t="n">
        <v>17</v>
      </c>
      <c r="C12" s="1" t="s">
        <v>64</v>
      </c>
      <c r="D12" s="1" t="n">
        <v>1701</v>
      </c>
      <c r="E12" s="1" t="s">
        <v>65</v>
      </c>
      <c r="F12" s="1" t="s">
        <v>66</v>
      </c>
      <c r="G12" s="1" t="n">
        <v>26.18</v>
      </c>
      <c r="H12" s="1" t="n">
        <v>18.11</v>
      </c>
      <c r="I12" s="1" t="n">
        <v>11.9</v>
      </c>
      <c r="J12" s="1" t="n">
        <v>3.46</v>
      </c>
      <c r="K12" s="1" t="n">
        <v>59.65</v>
      </c>
      <c r="L12" s="1" t="s">
        <v>40</v>
      </c>
      <c r="M12" s="1" t="s">
        <v>18</v>
      </c>
    </row>
    <row r="13" customFormat="false" ht="15" hidden="false" customHeight="true" outlineLevel="0" collapsed="false">
      <c r="A13" s="1" t="n">
        <v>12</v>
      </c>
      <c r="B13" s="1" t="n">
        <v>33</v>
      </c>
      <c r="C13" s="1" t="s">
        <v>14</v>
      </c>
      <c r="D13" s="1" t="n">
        <v>3324</v>
      </c>
      <c r="E13" s="1" t="s">
        <v>67</v>
      </c>
      <c r="F13" s="1" t="s">
        <v>68</v>
      </c>
      <c r="G13" s="1" t="n">
        <v>22.66</v>
      </c>
      <c r="H13" s="1" t="n">
        <v>18</v>
      </c>
      <c r="I13" s="1" t="n">
        <v>9.58</v>
      </c>
      <c r="J13" s="1" t="n">
        <v>8.38</v>
      </c>
      <c r="K13" s="1" t="n">
        <v>58.62</v>
      </c>
      <c r="L13" s="1" t="s">
        <v>40</v>
      </c>
      <c r="M13" s="1" t="s">
        <v>18</v>
      </c>
    </row>
    <row r="14" customFormat="false" ht="15" hidden="false" customHeight="true" outlineLevel="0" collapsed="false">
      <c r="A14" s="1" t="n">
        <v>13</v>
      </c>
      <c r="B14" s="1" t="n">
        <v>63</v>
      </c>
      <c r="C14" s="1" t="s">
        <v>23</v>
      </c>
      <c r="D14" s="1" t="n">
        <v>6303</v>
      </c>
      <c r="E14" s="1" t="s">
        <v>69</v>
      </c>
      <c r="F14" s="1" t="s">
        <v>70</v>
      </c>
      <c r="G14" s="1" t="n">
        <v>23.38</v>
      </c>
      <c r="H14" s="1" t="n">
        <v>17.6</v>
      </c>
      <c r="I14" s="1" t="n">
        <v>14.43</v>
      </c>
      <c r="J14" s="1" t="n">
        <v>3.2</v>
      </c>
      <c r="K14" s="1" t="n">
        <v>58.61</v>
      </c>
      <c r="L14" s="1" t="s">
        <v>40</v>
      </c>
      <c r="M14" s="1" t="s">
        <v>18</v>
      </c>
    </row>
    <row r="15" customFormat="false" ht="15" hidden="false" customHeight="true" outlineLevel="0" collapsed="false">
      <c r="A15" s="1" t="n">
        <v>14</v>
      </c>
      <c r="B15" s="1" t="n">
        <v>32</v>
      </c>
      <c r="C15" s="1" t="s">
        <v>43</v>
      </c>
      <c r="D15" s="1" t="n">
        <v>3217</v>
      </c>
      <c r="E15" s="1" t="s">
        <v>71</v>
      </c>
      <c r="F15" s="1" t="s">
        <v>72</v>
      </c>
      <c r="G15" s="1" t="n">
        <v>19.3</v>
      </c>
      <c r="H15" s="1" t="n">
        <v>16.11</v>
      </c>
      <c r="I15" s="1" t="n">
        <v>14.98</v>
      </c>
      <c r="J15" s="1" t="n">
        <v>6.7</v>
      </c>
      <c r="K15" s="1" t="n">
        <v>57.09</v>
      </c>
      <c r="L15" s="1" t="s">
        <v>40</v>
      </c>
      <c r="M15" s="1" t="s">
        <v>18</v>
      </c>
    </row>
    <row r="16" customFormat="false" ht="15" hidden="false" customHeight="true" outlineLevel="0" collapsed="false">
      <c r="A16" s="1" t="n">
        <v>15</v>
      </c>
      <c r="B16" s="1" t="n">
        <v>51</v>
      </c>
      <c r="C16" s="1" t="s">
        <v>32</v>
      </c>
      <c r="D16" s="1" t="n">
        <v>5105</v>
      </c>
      <c r="E16" s="1" t="s">
        <v>73</v>
      </c>
      <c r="F16" s="1" t="s">
        <v>74</v>
      </c>
      <c r="G16" s="1" t="n">
        <v>15.88</v>
      </c>
      <c r="H16" s="1" t="n">
        <v>19.2</v>
      </c>
      <c r="I16" s="1" t="n">
        <v>12.12</v>
      </c>
      <c r="J16" s="1" t="n">
        <v>7.54</v>
      </c>
      <c r="K16" s="1" t="n">
        <v>54.74</v>
      </c>
      <c r="L16" s="1" t="s">
        <v>40</v>
      </c>
      <c r="M16" s="1" t="s">
        <v>18</v>
      </c>
    </row>
    <row r="17" customFormat="false" ht="15" hidden="false" customHeight="true" outlineLevel="0" collapsed="false">
      <c r="A17" s="1" t="n">
        <v>16</v>
      </c>
      <c r="B17" s="1" t="n">
        <v>11</v>
      </c>
      <c r="C17" s="1" t="s">
        <v>75</v>
      </c>
      <c r="D17" s="1" t="n">
        <v>1115</v>
      </c>
      <c r="E17" s="1" t="s">
        <v>76</v>
      </c>
      <c r="F17" s="1" t="s">
        <v>77</v>
      </c>
      <c r="G17" s="1" t="n">
        <v>21.06</v>
      </c>
      <c r="H17" s="1" t="n">
        <v>16</v>
      </c>
      <c r="I17" s="1" t="n">
        <v>12.12</v>
      </c>
      <c r="J17" s="1" t="n">
        <v>3.6</v>
      </c>
      <c r="K17" s="1" t="n">
        <v>52.78</v>
      </c>
      <c r="L17" s="1" t="s">
        <v>40</v>
      </c>
      <c r="M17" s="1" t="s">
        <v>18</v>
      </c>
    </row>
    <row r="18" customFormat="false" ht="15" hidden="false" customHeight="true" outlineLevel="0" collapsed="false">
      <c r="A18" s="1" t="n">
        <v>17</v>
      </c>
      <c r="B18" s="1" t="n">
        <v>19</v>
      </c>
      <c r="C18" s="1" t="s">
        <v>78</v>
      </c>
      <c r="D18" s="1" t="n">
        <v>1906</v>
      </c>
      <c r="E18" s="1" t="s">
        <v>79</v>
      </c>
      <c r="F18" s="1" t="s">
        <v>80</v>
      </c>
      <c r="G18" s="1" t="n">
        <v>20</v>
      </c>
      <c r="H18" s="1" t="n">
        <v>16.11</v>
      </c>
      <c r="I18" s="1" t="n">
        <v>15.7</v>
      </c>
      <c r="J18" s="1" t="n">
        <v>0.72</v>
      </c>
      <c r="K18" s="1" t="n">
        <v>52.53</v>
      </c>
      <c r="L18" s="1" t="s">
        <v>40</v>
      </c>
      <c r="M18" s="1" t="s">
        <v>18</v>
      </c>
    </row>
    <row r="19" customFormat="false" ht="15" hidden="false" customHeight="true" outlineLevel="0" collapsed="false">
      <c r="A19" s="1" t="n">
        <v>18</v>
      </c>
      <c r="B19" s="1" t="n">
        <v>35</v>
      </c>
      <c r="C19" s="1" t="s">
        <v>81</v>
      </c>
      <c r="D19" s="1" t="n">
        <v>3516</v>
      </c>
      <c r="E19" s="1" t="s">
        <v>82</v>
      </c>
      <c r="F19" s="1" t="s">
        <v>83</v>
      </c>
      <c r="G19" s="1" t="n">
        <v>22.96</v>
      </c>
      <c r="H19" s="1" t="n">
        <v>12.82</v>
      </c>
      <c r="I19" s="1" t="n">
        <v>7.22</v>
      </c>
      <c r="J19" s="1" t="n">
        <v>6.88</v>
      </c>
      <c r="K19" s="1" t="n">
        <v>49.88</v>
      </c>
      <c r="L19" s="1" t="s">
        <v>84</v>
      </c>
      <c r="M19" s="1" t="s">
        <v>18</v>
      </c>
    </row>
    <row r="20" customFormat="false" ht="15" hidden="false" customHeight="true" outlineLevel="0" collapsed="false">
      <c r="A20" s="1" t="n">
        <v>19</v>
      </c>
      <c r="B20" s="1" t="n">
        <v>81</v>
      </c>
      <c r="C20" s="1" t="s">
        <v>85</v>
      </c>
      <c r="D20" s="1" t="n">
        <v>8104</v>
      </c>
      <c r="E20" s="1" t="s">
        <v>86</v>
      </c>
      <c r="F20" s="1" t="s">
        <v>87</v>
      </c>
      <c r="G20" s="1" t="n">
        <v>19.4</v>
      </c>
      <c r="H20" s="1" t="n">
        <v>15.42</v>
      </c>
      <c r="I20" s="1" t="n">
        <v>13.55</v>
      </c>
      <c r="J20" s="1" t="n">
        <v>0</v>
      </c>
      <c r="K20" s="1" t="n">
        <v>48.37</v>
      </c>
      <c r="L20" s="1" t="s">
        <v>84</v>
      </c>
      <c r="M20" s="1" t="s">
        <v>18</v>
      </c>
    </row>
    <row r="21" customFormat="false" ht="15" hidden="false" customHeight="true" outlineLevel="0" collapsed="false">
      <c r="A21" s="1" t="n">
        <v>20</v>
      </c>
      <c r="B21" s="1" t="n">
        <v>73</v>
      </c>
      <c r="C21" s="1" t="s">
        <v>88</v>
      </c>
      <c r="D21" s="1" t="n">
        <v>7311</v>
      </c>
      <c r="E21" s="1" t="s">
        <v>89</v>
      </c>
      <c r="F21" s="1" t="s">
        <v>90</v>
      </c>
      <c r="G21" s="1" t="n">
        <v>16.14</v>
      </c>
      <c r="H21" s="1" t="n">
        <v>17.2</v>
      </c>
      <c r="I21" s="1" t="n">
        <v>13.55</v>
      </c>
      <c r="J21" s="1" t="n">
        <v>0.72</v>
      </c>
      <c r="K21" s="1" t="n">
        <v>47.61</v>
      </c>
      <c r="L21" s="1" t="s">
        <v>84</v>
      </c>
      <c r="M21" s="1" t="s">
        <v>18</v>
      </c>
    </row>
    <row r="22" customFormat="false" ht="15" hidden="false" customHeight="true" outlineLevel="0" collapsed="false">
      <c r="A22" s="1" t="n">
        <v>21</v>
      </c>
      <c r="B22" s="1" t="n">
        <v>36</v>
      </c>
      <c r="C22" s="1" t="s">
        <v>91</v>
      </c>
      <c r="D22" s="1" t="n">
        <v>3604</v>
      </c>
      <c r="E22" s="1" t="s">
        <v>92</v>
      </c>
      <c r="F22" s="1" t="s">
        <v>93</v>
      </c>
      <c r="G22" s="1" t="n">
        <v>22.36</v>
      </c>
      <c r="H22" s="1" t="n">
        <v>13.51</v>
      </c>
      <c r="I22" s="1" t="n">
        <v>9.92</v>
      </c>
      <c r="J22" s="1" t="n">
        <v>0</v>
      </c>
      <c r="K22" s="1" t="n">
        <v>45.79</v>
      </c>
      <c r="L22" s="1" t="s">
        <v>84</v>
      </c>
      <c r="M22" s="1" t="s">
        <v>18</v>
      </c>
    </row>
    <row r="23" customFormat="false" ht="15" hidden="false" customHeight="true" outlineLevel="0" collapsed="false">
      <c r="A23" s="1" t="n">
        <v>22</v>
      </c>
      <c r="B23" s="1" t="n">
        <v>72</v>
      </c>
      <c r="C23" s="1" t="s">
        <v>94</v>
      </c>
      <c r="D23" s="1" t="n">
        <v>7206</v>
      </c>
      <c r="E23" s="1" t="s">
        <v>95</v>
      </c>
      <c r="F23" s="1" t="s">
        <v>96</v>
      </c>
      <c r="G23" s="1" t="n">
        <v>19.54</v>
      </c>
      <c r="H23" s="1" t="n">
        <v>15.6</v>
      </c>
      <c r="I23" s="1" t="n">
        <v>7.77</v>
      </c>
      <c r="J23" s="1" t="n">
        <v>2.08</v>
      </c>
      <c r="K23" s="1" t="n">
        <v>44.99</v>
      </c>
      <c r="L23" s="1" t="s">
        <v>84</v>
      </c>
      <c r="M23" s="1" t="s">
        <v>18</v>
      </c>
    </row>
    <row r="24" customFormat="false" ht="15" hidden="false" customHeight="true" outlineLevel="0" collapsed="false">
      <c r="A24" s="1" t="n">
        <v>23</v>
      </c>
      <c r="B24" s="1" t="n">
        <v>52</v>
      </c>
      <c r="C24" s="1" t="s">
        <v>97</v>
      </c>
      <c r="D24" s="1" t="n">
        <v>5203</v>
      </c>
      <c r="E24" s="1" t="s">
        <v>98</v>
      </c>
      <c r="F24" s="1" t="s">
        <v>99</v>
      </c>
      <c r="G24" s="1" t="n">
        <v>13.62</v>
      </c>
      <c r="H24" s="1" t="n">
        <v>16.51</v>
      </c>
      <c r="I24" s="1" t="n">
        <v>14.43</v>
      </c>
      <c r="J24" s="1" t="n">
        <v>0</v>
      </c>
      <c r="K24" s="1" t="n">
        <v>44.56</v>
      </c>
      <c r="L24" s="1" t="s">
        <v>84</v>
      </c>
      <c r="M24" s="1" t="s">
        <v>18</v>
      </c>
    </row>
    <row r="25" customFormat="false" ht="15" hidden="false" customHeight="true" outlineLevel="0" collapsed="false">
      <c r="A25" s="1" t="n">
        <v>24</v>
      </c>
      <c r="B25" s="1" t="n">
        <v>32</v>
      </c>
      <c r="C25" s="1" t="s">
        <v>43</v>
      </c>
      <c r="D25" s="1" t="n">
        <v>3202</v>
      </c>
      <c r="E25" s="1" t="s">
        <v>100</v>
      </c>
      <c r="F25" s="1" t="s">
        <v>101</v>
      </c>
      <c r="G25" s="1" t="n">
        <v>16.94</v>
      </c>
      <c r="H25" s="1" t="n">
        <v>16.4</v>
      </c>
      <c r="I25" s="1" t="n">
        <v>7.05</v>
      </c>
      <c r="J25" s="1" t="n">
        <v>2.48</v>
      </c>
      <c r="K25" s="1" t="n">
        <v>42.87</v>
      </c>
      <c r="L25" s="1" t="s">
        <v>84</v>
      </c>
      <c r="M25" s="1" t="s">
        <v>18</v>
      </c>
    </row>
    <row r="26" customFormat="false" ht="15" hidden="false" customHeight="true" outlineLevel="0" collapsed="false">
      <c r="A26" s="1" t="n">
        <v>25</v>
      </c>
      <c r="B26" s="1" t="n">
        <v>82</v>
      </c>
      <c r="C26" s="1" t="s">
        <v>102</v>
      </c>
      <c r="D26" s="1" t="n">
        <v>8201</v>
      </c>
      <c r="E26" s="1" t="s">
        <v>103</v>
      </c>
      <c r="F26" s="1" t="s">
        <v>104</v>
      </c>
      <c r="G26" s="1" t="n">
        <v>17.02</v>
      </c>
      <c r="H26" s="1" t="n">
        <v>12.9</v>
      </c>
      <c r="I26" s="1" t="n">
        <v>10.13</v>
      </c>
      <c r="J26" s="1" t="n">
        <v>0</v>
      </c>
      <c r="K26" s="1" t="n">
        <v>40.05</v>
      </c>
      <c r="L26" s="1" t="s">
        <v>84</v>
      </c>
      <c r="M26" s="1" t="s">
        <v>18</v>
      </c>
    </row>
    <row r="27" customFormat="false" ht="15" hidden="false" customHeight="true" outlineLevel="0" collapsed="false">
      <c r="A27" s="1" t="n">
        <v>26</v>
      </c>
      <c r="B27" s="1" t="n">
        <v>71</v>
      </c>
      <c r="C27" s="1" t="s">
        <v>105</v>
      </c>
      <c r="D27" s="1" t="n">
        <v>7102</v>
      </c>
      <c r="E27" s="1" t="s">
        <v>106</v>
      </c>
      <c r="F27" s="1" t="s">
        <v>107</v>
      </c>
      <c r="G27" s="1" t="n">
        <v>16.12</v>
      </c>
      <c r="H27" s="1" t="n">
        <v>15.2</v>
      </c>
      <c r="I27" s="1" t="n">
        <v>7.6</v>
      </c>
      <c r="J27" s="1" t="n">
        <v>0.72</v>
      </c>
      <c r="K27" s="1" t="n">
        <v>39.64</v>
      </c>
      <c r="L27" s="1" t="s">
        <v>84</v>
      </c>
      <c r="M27" s="1" t="s">
        <v>18</v>
      </c>
    </row>
    <row r="28" customFormat="false" ht="15" hidden="false" customHeight="true" outlineLevel="0" collapsed="false">
      <c r="A28" s="1" t="n">
        <v>27</v>
      </c>
      <c r="B28" s="1" t="n">
        <v>64</v>
      </c>
      <c r="C28" s="1" t="s">
        <v>108</v>
      </c>
      <c r="D28" s="1" t="n">
        <v>6402</v>
      </c>
      <c r="E28" s="1" t="s">
        <v>109</v>
      </c>
      <c r="F28" s="1" t="s">
        <v>110</v>
      </c>
      <c r="G28" s="1" t="n">
        <v>8.6</v>
      </c>
      <c r="H28" s="1" t="n">
        <v>16.8</v>
      </c>
      <c r="I28" s="1" t="n">
        <v>9.2</v>
      </c>
      <c r="J28" s="1" t="n">
        <v>0</v>
      </c>
      <c r="K28" s="1" t="n">
        <v>34.6</v>
      </c>
      <c r="L28" s="1" t="s">
        <v>84</v>
      </c>
      <c r="M28" s="1" t="s">
        <v>18</v>
      </c>
    </row>
    <row r="29" customFormat="false" ht="15" hidden="false" customHeight="true" outlineLevel="0" collapsed="false">
      <c r="A29" s="1" t="n">
        <v>28</v>
      </c>
      <c r="B29" s="1" t="n">
        <v>93</v>
      </c>
      <c r="C29" s="1" t="s">
        <v>111</v>
      </c>
      <c r="D29" s="1" t="n">
        <v>9301</v>
      </c>
      <c r="E29" s="1" t="s">
        <v>112</v>
      </c>
      <c r="F29" s="1" t="s">
        <v>113</v>
      </c>
      <c r="G29" s="1" t="n">
        <v>14.3</v>
      </c>
      <c r="H29" s="1" t="n">
        <v>11.93</v>
      </c>
      <c r="I29" s="1" t="n">
        <v>5.78</v>
      </c>
      <c r="J29" s="1" t="n">
        <v>0</v>
      </c>
      <c r="K29" s="1" t="n">
        <v>32.02</v>
      </c>
      <c r="L29" s="1" t="s">
        <v>84</v>
      </c>
      <c r="M29" s="1" t="s">
        <v>18</v>
      </c>
    </row>
    <row r="30" customFormat="false" ht="15" hidden="false" customHeight="true" outlineLevel="0" collapsed="false">
      <c r="A30" s="1" t="n">
        <v>29</v>
      </c>
      <c r="B30" s="1" t="n">
        <v>53</v>
      </c>
      <c r="C30" s="1" t="s">
        <v>114</v>
      </c>
      <c r="D30" s="1" t="n">
        <v>5309</v>
      </c>
      <c r="E30" s="1" t="s">
        <v>115</v>
      </c>
      <c r="F30" s="1" t="s">
        <v>116</v>
      </c>
      <c r="G30" s="1" t="n">
        <v>4.68</v>
      </c>
      <c r="H30" s="1" t="n">
        <v>14.51</v>
      </c>
      <c r="I30" s="1" t="n">
        <v>11.4</v>
      </c>
      <c r="J30" s="1" t="n">
        <v>0</v>
      </c>
      <c r="K30" s="1" t="n">
        <v>30.59</v>
      </c>
      <c r="L30" s="1" t="s">
        <v>84</v>
      </c>
      <c r="M30" s="1" t="s">
        <v>18</v>
      </c>
    </row>
    <row r="31" customFormat="false" ht="60" hidden="false" customHeight="true" outlineLevel="0" collapsed="false">
      <c r="A31" s="1" t="n">
        <v>30</v>
      </c>
      <c r="B31" s="1" t="n">
        <v>96</v>
      </c>
      <c r="C31" s="1" t="s">
        <v>117</v>
      </c>
      <c r="D31" s="1" t="n">
        <v>9603</v>
      </c>
      <c r="E31" s="1" t="s">
        <v>118</v>
      </c>
      <c r="F31" s="1" t="s">
        <v>119</v>
      </c>
      <c r="G31" s="1" t="n">
        <v>2.04</v>
      </c>
      <c r="H31" s="1" t="n">
        <v>8.86</v>
      </c>
      <c r="I31" s="1" t="n">
        <v>3.8</v>
      </c>
      <c r="J31" s="1" t="n">
        <v>0</v>
      </c>
      <c r="K31" s="1" t="n">
        <v>14.7</v>
      </c>
      <c r="L31" s="1" t="s">
        <v>120</v>
      </c>
      <c r="M31" s="9" t="s">
        <v>121</v>
      </c>
    </row>
  </sheetData>
  <mergeCells count="2">
    <mergeCell ref="O1:S1"/>
    <mergeCell ref="O10:S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10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9" min="7" style="1" width="9"/>
    <col collapsed="false" customWidth="true" hidden="false" outlineLevel="0" max="11" min="10" style="1" width="10"/>
    <col collapsed="false" customWidth="true" hidden="false" outlineLevel="0" max="13" min="12" style="1" width="16"/>
    <col collapsed="false" customWidth="true" hidden="false" outlineLevel="0" max="14" min="14" style="1" width="14"/>
  </cols>
  <sheetData>
    <row r="1" customFormat="false" ht="41.25" hidden="false" customHeight="true" outlineLevel="0" collapsed="false"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  <c r="K1" s="2" t="s">
        <v>131</v>
      </c>
      <c r="L1" s="10" t="s">
        <v>132</v>
      </c>
      <c r="M1" s="10" t="s">
        <v>133</v>
      </c>
      <c r="N1" s="10" t="s">
        <v>134</v>
      </c>
    </row>
    <row r="2" customFormat="false" ht="15" hidden="false" customHeight="true" outlineLevel="0" collapsed="false">
      <c r="A2" s="2" t="s">
        <v>6</v>
      </c>
      <c r="B2" s="1" t="n">
        <f aca="false">AVERAGE(Data_Cleaning_Assessment!G2:G31)</f>
        <v>20.334</v>
      </c>
      <c r="C2" s="1" t="n">
        <f aca="false">MEDIAN(Data_Cleaning_Assessment!G2:G31)</f>
        <v>21.71</v>
      </c>
      <c r="D2" s="1" t="str">
        <f aca="false">IFERROR(MODE(Data_Cleaning_Assessment!G2:G31),"Tidak ada modus (semua nilai unik)")</f>
        <v>Tidak ada modus (semua nilai unik)</v>
      </c>
      <c r="E2" s="1" t="n">
        <f aca="false">STDEV(Data_Cleaning_Assessment!G2:G31)</f>
        <v>6.9654995117562</v>
      </c>
      <c r="F2" s="1" t="n">
        <f aca="false">VAR(Data_Cleaning_Assessment!G2:G31)</f>
        <v>48.5181834482759</v>
      </c>
      <c r="G2" s="1" t="n">
        <f aca="false">MIN(Data_Cleaning_Assessment!G2:G31)</f>
        <v>2.04</v>
      </c>
      <c r="H2" s="1" t="n">
        <f aca="false">MAX(Data_Cleaning_Assessment!G2:G31)</f>
        <v>31.32</v>
      </c>
      <c r="I2" s="1" t="n">
        <f aca="false">H2-G2</f>
        <v>29.28</v>
      </c>
      <c r="J2" s="1" t="n">
        <f aca="false">SKEW(Data_Cleaning_Assessment!G2:G31)</f>
        <v>-0.922909132559539</v>
      </c>
      <c r="K2" s="1" t="n">
        <f aca="false">KURT(Data_Cleaning_Assessment!G2:G31)</f>
        <v>0.779436007352347</v>
      </c>
      <c r="L2" s="11" t="n">
        <f aca="false">QUARTILE(Data_Cleaning_Assessment!G2:G31,1)-1.5*(QUARTILE(Data_Cleaning_Assessment!G2:G31,3)-QUARTILE(Data_Cleaning_Assessment!G2:G31,1))</f>
        <v>2.06</v>
      </c>
      <c r="M2" s="11" t="n">
        <f aca="false">QUARTILE(Data_Cleaning_Assessment!G2:G31,3)+1.5*(QUARTILE(Data_Cleaning_Assessment!G2:G31,3)-QUARTILE(Data_Cleaning_Assessment!G2:G31,1))</f>
        <v>40.14</v>
      </c>
      <c r="N2" s="12" t="n">
        <f aca="false">SUMPRODUCT((Data_Cleaning_Assessment!G2:G31&lt;L2)+(Data_Cleaning_Assessment!G2:G31&gt;M2))</f>
        <v>1</v>
      </c>
    </row>
    <row r="3" customFormat="false" ht="15" hidden="false" customHeight="true" outlineLevel="0" collapsed="false">
      <c r="A3" s="2" t="s">
        <v>7</v>
      </c>
      <c r="B3" s="1" t="n">
        <f aca="false">AVERAGE(Data_Cleaning_Assessment!H2:H31)</f>
        <v>16.2736666666667</v>
      </c>
      <c r="C3" s="1" t="n">
        <f aca="false">MEDIAN(Data_Cleaning_Assessment!H2:H31)</f>
        <v>16.655</v>
      </c>
      <c r="D3" s="1" t="n">
        <f aca="false">IFERROR(MODE(Data_Cleaning_Assessment!H2:H31),"Tidak ada modus (semua nilai unik)")</f>
        <v>18.4</v>
      </c>
      <c r="E3" s="1" t="n">
        <f aca="false">STDEV(Data_Cleaning_Assessment!H2:H31)</f>
        <v>2.35194194646471</v>
      </c>
      <c r="F3" s="1" t="n">
        <f aca="false">VAR(Data_Cleaning_Assessment!H2:H31)</f>
        <v>5.53163091954023</v>
      </c>
      <c r="G3" s="1" t="n">
        <f aca="false">MIN(Data_Cleaning_Assessment!H2:H31)</f>
        <v>8.86</v>
      </c>
      <c r="H3" s="1" t="n">
        <f aca="false">MAX(Data_Cleaning_Assessment!H2:H31)</f>
        <v>19.2</v>
      </c>
      <c r="I3" s="1" t="n">
        <f aca="false">H3-G3</f>
        <v>10.34</v>
      </c>
      <c r="J3" s="1" t="n">
        <f aca="false">SKEW(Data_Cleaning_Assessment!H2:H31)</f>
        <v>-1.398010724935</v>
      </c>
      <c r="K3" s="1" t="n">
        <f aca="false">KURT(Data_Cleaning_Assessment!H2:H31)</f>
        <v>2.14651010265582</v>
      </c>
      <c r="L3" s="11" t="n">
        <f aca="false">QUARTILE(Data_Cleaning_Assessment!H2:H31,1)-1.5*(QUARTILE(Data_Cleaning_Assessment!H2:H31,3)-QUARTILE(Data_Cleaning_Assessment!H2:H31,1))</f>
        <v>11.6625</v>
      </c>
      <c r="M3" s="11" t="n">
        <f aca="false">QUARTILE(Data_Cleaning_Assessment!H2:H31,3)+1.5*(QUARTILE(Data_Cleaning_Assessment!H2:H31,3)-QUARTILE(Data_Cleaning_Assessment!H2:H31,1))</f>
        <v>21.8025</v>
      </c>
      <c r="N3" s="12" t="n">
        <f aca="false">SUMPRODUCT((Data_Cleaning_Assessment!H2:H31&lt;L3)+(Data_Cleaning_Assessment!H2:H31&gt;M3))</f>
        <v>1</v>
      </c>
    </row>
    <row r="4" customFormat="false" ht="15" hidden="false" customHeight="true" outlineLevel="0" collapsed="false">
      <c r="A4" s="2" t="s">
        <v>8</v>
      </c>
      <c r="B4" s="1" t="n">
        <f aca="false">AVERAGE(Data_Cleaning_Assessment!I2:I31)</f>
        <v>12.0833333333333</v>
      </c>
      <c r="C4" s="1" t="n">
        <f aca="false">MEDIAN(Data_Cleaning_Assessment!I2:I31)</f>
        <v>13.165</v>
      </c>
      <c r="D4" s="1" t="n">
        <f aca="false">IFERROR(MODE(Data_Cleaning_Assessment!I2:I31),"Tidak ada modus (semua nilai unik)")</f>
        <v>14.98</v>
      </c>
      <c r="E4" s="1" t="n">
        <f aca="false">STDEV(Data_Cleaning_Assessment!I2:I31)</f>
        <v>3.54638362019807</v>
      </c>
      <c r="F4" s="1" t="n">
        <f aca="false">VAR(Data_Cleaning_Assessment!I2:I31)</f>
        <v>12.5768367816092</v>
      </c>
      <c r="G4" s="1" t="n">
        <f aca="false">MIN(Data_Cleaning_Assessment!I2:I31)</f>
        <v>3.8</v>
      </c>
      <c r="H4" s="1" t="n">
        <f aca="false">MAX(Data_Cleaning_Assessment!I2:I31)</f>
        <v>17.85</v>
      </c>
      <c r="I4" s="1" t="n">
        <f aca="false">H4-G4</f>
        <v>14.05</v>
      </c>
      <c r="J4" s="1" t="n">
        <f aca="false">SKEW(Data_Cleaning_Assessment!I2:I31)</f>
        <v>-0.598843929864856</v>
      </c>
      <c r="K4" s="1" t="n">
        <f aca="false">KURT(Data_Cleaning_Assessment!I2:I31)</f>
        <v>-0.420595635938166</v>
      </c>
      <c r="L4" s="11" t="n">
        <f aca="false">QUARTILE(Data_Cleaning_Assessment!I2:I31,1)-1.5*(QUARTILE(Data_Cleaning_Assessment!I2:I31,3)-QUARTILE(Data_Cleaning_Assessment!I2:I31,1))</f>
        <v>1.89875</v>
      </c>
      <c r="M4" s="11" t="n">
        <f aca="false">QUARTILE(Data_Cleaning_Assessment!I2:I31,3)+1.5*(QUARTILE(Data_Cleaning_Assessment!I2:I31,3)-QUARTILE(Data_Cleaning_Assessment!I2:I31,1))</f>
        <v>22.60875</v>
      </c>
      <c r="N4" s="12" t="n">
        <f aca="false">SUMPRODUCT((Data_Cleaning_Assessment!I2:I31&lt;L4)+(Data_Cleaning_Assessment!I2:I31&gt;M4))</f>
        <v>0</v>
      </c>
    </row>
    <row r="5" customFormat="false" ht="15" hidden="false" customHeight="true" outlineLevel="0" collapsed="false">
      <c r="A5" s="2" t="s">
        <v>9</v>
      </c>
      <c r="B5" s="1" t="n">
        <f aca="false">AVERAGE(Data_Cleaning_Assessment!J2:J31)</f>
        <v>5.35733333333333</v>
      </c>
      <c r="C5" s="1" t="n">
        <f aca="false">MEDIAN(Data_Cleaning_Assessment!J2:J31)</f>
        <v>3.53</v>
      </c>
      <c r="D5" s="1" t="n">
        <f aca="false">IFERROR(MODE(Data_Cleaning_Assessment!J2:J31),"Tidak ada modus (semua nilai unik)")</f>
        <v>0</v>
      </c>
      <c r="E5" s="1" t="n">
        <f aca="false">STDEV(Data_Cleaning_Assessment!J2:J31)</f>
        <v>5.50803734576109</v>
      </c>
      <c r="F5" s="1" t="n">
        <f aca="false">VAR(Data_Cleaning_Assessment!J2:J31)</f>
        <v>30.3384754022989</v>
      </c>
      <c r="G5" s="1" t="n">
        <f aca="false">MIN(Data_Cleaning_Assessment!J2:J31)</f>
        <v>0</v>
      </c>
      <c r="H5" s="1" t="n">
        <f aca="false">MAX(Data_Cleaning_Assessment!J2:J31)</f>
        <v>16.78</v>
      </c>
      <c r="I5" s="1" t="n">
        <f aca="false">H5-G5</f>
        <v>16.78</v>
      </c>
      <c r="J5" s="1" t="n">
        <f aca="false">SKEW(Data_Cleaning_Assessment!J2:J31)</f>
        <v>0.806741684642856</v>
      </c>
      <c r="K5" s="1" t="n">
        <f aca="false">KURT(Data_Cleaning_Assessment!J2:J31)</f>
        <v>-0.477750662965955</v>
      </c>
      <c r="L5" s="11" t="n">
        <f aca="false">QUARTILE(Data_Cleaning_Assessment!J2:J31,1)-1.5*(QUARTILE(Data_Cleaning_Assessment!J2:J31,3)-QUARTILE(Data_Cleaning_Assessment!J2:J31,1))</f>
        <v>-12.21</v>
      </c>
      <c r="M5" s="11" t="n">
        <f aca="false">QUARTILE(Data_Cleaning_Assessment!J2:J31,3)+1.5*(QUARTILE(Data_Cleaning_Assessment!J2:J31,3)-QUARTILE(Data_Cleaning_Assessment!J2:J31,1))</f>
        <v>20.83</v>
      </c>
      <c r="N5" s="12" t="n">
        <f aca="false">SUMPRODUCT((Data_Cleaning_Assessment!J2:J31&lt;L5)+(Data_Cleaning_Assessment!J2:J31&gt;M5))</f>
        <v>0</v>
      </c>
    </row>
    <row r="6" customFormat="false" ht="15" hidden="false" customHeight="true" outlineLevel="0" collapsed="false">
      <c r="A6" s="2" t="s">
        <v>10</v>
      </c>
      <c r="B6" s="1" t="n">
        <f aca="false">AVERAGE(Data_Cleaning_Assessment!K2:K31)</f>
        <v>54.049</v>
      </c>
      <c r="C6" s="1" t="n">
        <f aca="false">MEDIAN(Data_Cleaning_Assessment!K2:K31)</f>
        <v>53.76</v>
      </c>
      <c r="D6" s="1" t="str">
        <f aca="false">IFERROR(MODE(Data_Cleaning_Assessment!K2:K31),"Tidak ada modus (semua nilai unik)")</f>
        <v>Tidak ada modus (semua nilai unik)</v>
      </c>
      <c r="E6" s="1" t="n">
        <f aca="false">STDEV(Data_Cleaning_Assessment!K2:K31)</f>
        <v>15.5884350036195</v>
      </c>
      <c r="F6" s="1" t="n">
        <f aca="false">VAR(Data_Cleaning_Assessment!K2:K31)</f>
        <v>242.999305862069</v>
      </c>
      <c r="G6" s="1" t="n">
        <f aca="false">MIN(Data_Cleaning_Assessment!K2:K31)</f>
        <v>14.7</v>
      </c>
      <c r="H6" s="1" t="n">
        <f aca="false">MAX(Data_Cleaning_Assessment!K2:K31)</f>
        <v>75.84</v>
      </c>
      <c r="I6" s="1" t="n">
        <f aca="false">H6-G6</f>
        <v>61.14</v>
      </c>
      <c r="J6" s="1" t="n">
        <f aca="false">SKEW(Data_Cleaning_Assessment!K2:K31)</f>
        <v>-0.400386619596613</v>
      </c>
      <c r="K6" s="1" t="n">
        <f aca="false">KURT(Data_Cleaning_Assessment!K2:K31)</f>
        <v>-0.180809685017624</v>
      </c>
      <c r="L6" s="11" t="n">
        <f aca="false">QUARTILE(Data_Cleaning_Assessment!K2:K31,1)-1.5*(QUARTILE(Data_Cleaning_Assessment!K2:K31,3)-QUARTILE(Data_Cleaning_Assessment!K2:K31,1))</f>
        <v>14.01875</v>
      </c>
      <c r="M6" s="11" t="n">
        <f aca="false">QUARTILE(Data_Cleaning_Assessment!K2:K31,3)+1.5*(QUARTILE(Data_Cleaning_Assessment!K2:K31,3)-QUARTILE(Data_Cleaning_Assessment!K2:K31,1))</f>
        <v>95.74875</v>
      </c>
      <c r="N6" s="12" t="n">
        <f aca="false">SUMPRODUCT((Data_Cleaning_Assessment!K2:K31&lt;L6)+(Data_Cleaning_Assessment!K2:K31&gt;M6))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  <col collapsed="false" customWidth="true" hidden="false" outlineLevel="0" max="6" min="6" style="1" width="12"/>
  </cols>
  <sheetData>
    <row r="1" customFormat="false" ht="15" hidden="false" customHeight="true" outlineLevel="0" collapsed="false"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customFormat="false" ht="15" hidden="false" customHeight="true" outlineLevel="0" collapsed="false">
      <c r="A2" s="2" t="s">
        <v>6</v>
      </c>
      <c r="B2" s="13" t="n">
        <v>1</v>
      </c>
      <c r="C2" s="13" t="n">
        <f aca="false">CORREL(Data_Cleaning_Assessment!G2:G31,Data_Cleaning_Assessment!H2:H31)</f>
        <v>0.606944398458413</v>
      </c>
      <c r="D2" s="13" t="n">
        <f aca="false">CORREL(Data_Cleaning_Assessment!G2:G31,Data_Cleaning_Assessment!I2:I31)</f>
        <v>0.599268531023492</v>
      </c>
      <c r="E2" s="13" t="n">
        <f aca="false">CORREL(Data_Cleaning_Assessment!G2:G31,Data_Cleaning_Assessment!J2:J31)</f>
        <v>0.651305797466196</v>
      </c>
      <c r="F2" s="13" t="n">
        <f aca="false">CORREL(Data_Cleaning_Assessment!G2:G31,Data_Cleaning_Assessment!K2:K31)</f>
        <v>0.904877628728362</v>
      </c>
    </row>
    <row r="3" customFormat="false" ht="15" hidden="false" customHeight="true" outlineLevel="0" collapsed="false">
      <c r="A3" s="2" t="s">
        <v>7</v>
      </c>
      <c r="B3" s="13" t="n">
        <f aca="false">CORREL(Data_Cleaning_Assessment!H2:H31,Data_Cleaning_Assessment!G2:G31)</f>
        <v>0.606944398458413</v>
      </c>
      <c r="C3" s="13" t="n">
        <v>1</v>
      </c>
      <c r="D3" s="13" t="n">
        <f aca="false">CORREL(Data_Cleaning_Assessment!H2:H31,Data_Cleaning_Assessment!I2:I31)</f>
        <v>0.713039208583713</v>
      </c>
      <c r="E3" s="13" t="n">
        <f aca="false">CORREL(Data_Cleaning_Assessment!H2:H31,Data_Cleaning_Assessment!J2:J31)</f>
        <v>0.595171807372962</v>
      </c>
      <c r="F3" s="13" t="n">
        <f aca="false">CORREL(Data_Cleaning_Assessment!H2:H31,Data_Cleaning_Assessment!K2:K31)</f>
        <v>0.794581721658573</v>
      </c>
    </row>
    <row r="4" customFormat="false" ht="15" hidden="false" customHeight="true" outlineLevel="0" collapsed="false">
      <c r="A4" s="2" t="s">
        <v>8</v>
      </c>
      <c r="B4" s="13" t="n">
        <f aca="false">CORREL(Data_Cleaning_Assessment!I2:I31,Data_Cleaning_Assessment!G2:G31)</f>
        <v>0.599268531023492</v>
      </c>
      <c r="C4" s="13" t="n">
        <f aca="false">CORREL(Data_Cleaning_Assessment!I2:I31,Data_Cleaning_Assessment!H2:H31)</f>
        <v>0.713039208583713</v>
      </c>
      <c r="D4" s="13" t="n">
        <v>1</v>
      </c>
      <c r="E4" s="13" t="n">
        <f aca="false">CORREL(Data_Cleaning_Assessment!I2:I31,Data_Cleaning_Assessment!J2:J31)</f>
        <v>0.492747906814638</v>
      </c>
      <c r="F4" s="13" t="n">
        <f aca="false">CORREL(Data_Cleaning_Assessment!I2:I31,Data_Cleaning_Assessment!K2:K31)</f>
        <v>0.776937211326397</v>
      </c>
    </row>
    <row r="5" customFormat="false" ht="15" hidden="false" customHeight="true" outlineLevel="0" collapsed="false">
      <c r="A5" s="2" t="s">
        <v>9</v>
      </c>
      <c r="B5" s="13" t="n">
        <f aca="false">CORREL(Data_Cleaning_Assessment!J2:J31,Data_Cleaning_Assessment!G2:G31)</f>
        <v>0.651305797466196</v>
      </c>
      <c r="C5" s="13" t="n">
        <f aca="false">CORREL(Data_Cleaning_Assessment!J2:J31,Data_Cleaning_Assessment!H2:H31)</f>
        <v>0.595171807372962</v>
      </c>
      <c r="D5" s="13" t="n">
        <f aca="false">CORREL(Data_Cleaning_Assessment!J2:J31,Data_Cleaning_Assessment!I2:I31)</f>
        <v>0.492747906814638</v>
      </c>
      <c r="E5" s="13" t="n">
        <v>1</v>
      </c>
      <c r="F5" s="13" t="n">
        <f aca="false">CORREL(Data_Cleaning_Assessment!J2:J31,Data_Cleaning_Assessment!K2:K31)</f>
        <v>0.846291571530304</v>
      </c>
    </row>
    <row r="6" customFormat="false" ht="15" hidden="false" customHeight="true" outlineLevel="0" collapsed="false">
      <c r="A6" s="2" t="s">
        <v>10</v>
      </c>
      <c r="B6" s="13" t="n">
        <f aca="false">CORREL(Data_Cleaning_Assessment!K2:K31,Data_Cleaning_Assessment!G2:G31)</f>
        <v>0.904877628728362</v>
      </c>
      <c r="C6" s="13" t="n">
        <f aca="false">CORREL(Data_Cleaning_Assessment!K2:K31,Data_Cleaning_Assessment!H2:H31)</f>
        <v>0.794581721658573</v>
      </c>
      <c r="D6" s="13" t="n">
        <f aca="false">CORREL(Data_Cleaning_Assessment!K2:K31,Data_Cleaning_Assessment!I2:I31)</f>
        <v>0.776937211326397</v>
      </c>
      <c r="E6" s="13" t="n">
        <f aca="false">CORREL(Data_Cleaning_Assessment!K2:K31,Data_Cleaning_Assessment!J2:J31)</f>
        <v>0.846291571530304</v>
      </c>
      <c r="F6" s="1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2026-09-07T15:27:33Z</dcterms:created>
  <dc:creator>openpyxl</dc:creator>
  <dc:description/>
  <dc:language>en-US</dc:language>
  <cp:lastModifiedBy/>
  <dcterms:modified xsi:type="dcterms:W3CDTF">2026-09-10T05:53:43Z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